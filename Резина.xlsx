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ндрей\Desktop\Шины диски\"/>
    </mc:Choice>
  </mc:AlternateContent>
  <xr:revisionPtr revIDLastSave="0" documentId="13_ncr:1_{9409DAF3-AC59-4157-8266-2EDD06AA397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R15" sheetId="1" r:id="rId1"/>
    <sheet name="R16" sheetId="2" r:id="rId2"/>
    <sheet name="R17" sheetId="3" r:id="rId3"/>
    <sheet name="R18" sheetId="4" r:id="rId4"/>
    <sheet name="R19" sheetId="5" r:id="rId5"/>
    <sheet name="R20" sheetId="6" r:id="rId6"/>
    <sheet name="R21" sheetId="7" r:id="rId7"/>
    <sheet name="R22" sheetId="8" r:id="rId8"/>
    <sheet name="R ОДИНОЧКИ" sheetId="13" r:id="rId9"/>
    <sheet name="Итого" sheetId="12" r:id="rId10"/>
  </sheets>
  <definedNames>
    <definedName name="_xlnm._FilterDatabase" localSheetId="3" hidden="1">'R18'!$A$1:$M$322</definedName>
    <definedName name="_xlnm.Print_Area" localSheetId="6">'R21'!$A$1:$G$104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5" i="6" l="1"/>
  <c r="F192" i="5"/>
  <c r="F180" i="5"/>
  <c r="F147" i="5"/>
  <c r="F161" i="3"/>
  <c r="F71" i="5"/>
  <c r="F48" i="5"/>
  <c r="F14" i="5"/>
  <c r="F48" i="4"/>
  <c r="F99" i="3"/>
  <c r="F133" i="3"/>
  <c r="F116" i="3"/>
  <c r="F76" i="3"/>
  <c r="F24" i="3"/>
  <c r="F202" i="4"/>
  <c r="F39" i="1"/>
  <c r="F3" i="1"/>
  <c r="F42" i="1"/>
  <c r="F265" i="4"/>
  <c r="F16" i="1"/>
  <c r="F31" i="7"/>
  <c r="F96" i="7"/>
  <c r="F113" i="5"/>
  <c r="F223" i="5"/>
  <c r="F105" i="5"/>
  <c r="F235" i="5"/>
  <c r="F116" i="4"/>
  <c r="F84" i="7"/>
  <c r="F85" i="7"/>
  <c r="F41" i="3"/>
  <c r="F42" i="3"/>
  <c r="F6" i="1"/>
  <c r="F2" i="1"/>
  <c r="F100" i="7"/>
  <c r="F137" i="3"/>
  <c r="F8" i="1"/>
  <c r="F41" i="6"/>
  <c r="F132" i="6"/>
  <c r="F26" i="6"/>
  <c r="F247" i="5"/>
  <c r="F140" i="5"/>
  <c r="F122" i="5"/>
  <c r="F212" i="4"/>
  <c r="F134" i="4"/>
  <c r="F158" i="6"/>
  <c r="F41" i="13"/>
  <c r="F10" i="13"/>
  <c r="F22" i="13"/>
  <c r="F49" i="13"/>
  <c r="F46" i="13"/>
  <c r="F68" i="2"/>
  <c r="F74" i="13"/>
  <c r="F69" i="13"/>
  <c r="F45" i="13"/>
  <c r="F92" i="2"/>
  <c r="F17" i="1"/>
  <c r="F89" i="2"/>
  <c r="F90" i="2"/>
  <c r="F44" i="3"/>
  <c r="F91" i="2"/>
  <c r="F88" i="2"/>
  <c r="F74" i="3"/>
  <c r="F61" i="3"/>
  <c r="F72" i="2"/>
  <c r="F86" i="2"/>
  <c r="F78" i="2"/>
  <c r="F14" i="2"/>
  <c r="F38" i="5"/>
  <c r="F92" i="5"/>
  <c r="F267" i="4"/>
  <c r="F53" i="3"/>
  <c r="F92" i="3"/>
  <c r="F95" i="3"/>
  <c r="F144" i="5"/>
  <c r="F189" i="5"/>
  <c r="F9" i="8"/>
  <c r="F76" i="2"/>
  <c r="F208" i="5"/>
  <c r="F210" i="5"/>
  <c r="F35" i="8"/>
  <c r="F181" i="6"/>
  <c r="F32" i="7"/>
  <c r="F33" i="6"/>
  <c r="F173" i="6"/>
  <c r="F54" i="3"/>
  <c r="F38" i="3"/>
  <c r="F18" i="7"/>
  <c r="F6" i="2"/>
  <c r="F33" i="1"/>
  <c r="F34" i="2"/>
  <c r="F19" i="1"/>
  <c r="F20" i="1"/>
  <c r="F50" i="6"/>
  <c r="F90" i="6"/>
  <c r="F43" i="1"/>
  <c r="F45" i="6"/>
  <c r="F86" i="7"/>
  <c r="F180" i="6"/>
  <c r="F5" i="8"/>
  <c r="F176" i="6"/>
  <c r="F66" i="7"/>
  <c r="F79" i="6"/>
  <c r="F45" i="1"/>
  <c r="F139" i="5"/>
  <c r="F246" i="5"/>
  <c r="F271" i="5"/>
  <c r="F11" i="3"/>
  <c r="F12" i="1"/>
  <c r="F24" i="2"/>
  <c r="F312" i="4"/>
  <c r="F8" i="3"/>
  <c r="F150" i="6"/>
  <c r="F2" i="8"/>
  <c r="F43" i="8"/>
  <c r="F87" i="2"/>
  <c r="F61" i="5"/>
  <c r="F82" i="3"/>
  <c r="F5" i="2"/>
  <c r="F14" i="3"/>
  <c r="F141" i="5"/>
  <c r="F84" i="3"/>
  <c r="F85" i="3"/>
  <c r="F57" i="3"/>
  <c r="F97" i="3"/>
  <c r="F10" i="7"/>
  <c r="F54" i="7"/>
  <c r="F37" i="8"/>
  <c r="F10" i="8"/>
  <c r="F4" i="8"/>
  <c r="F20" i="3"/>
  <c r="F25" i="5"/>
  <c r="F53" i="5"/>
  <c r="F91" i="6"/>
  <c r="F172" i="3"/>
  <c r="F222" i="4"/>
  <c r="F303" i="4"/>
  <c r="F90" i="4"/>
  <c r="F110" i="2"/>
  <c r="F263" i="4"/>
  <c r="F289" i="4"/>
  <c r="F102" i="3"/>
  <c r="F103" i="3"/>
  <c r="F102" i="4"/>
  <c r="F77" i="2"/>
  <c r="F105" i="2"/>
  <c r="F29" i="2"/>
  <c r="F102" i="7"/>
  <c r="F96" i="2"/>
  <c r="F93" i="2"/>
  <c r="F98" i="7"/>
  <c r="F37" i="7"/>
  <c r="F95" i="7"/>
  <c r="F4" i="2"/>
  <c r="F233" i="5"/>
  <c r="F30" i="7"/>
  <c r="F199" i="6"/>
  <c r="F79" i="2"/>
  <c r="F81" i="4"/>
  <c r="F86" i="3"/>
  <c r="F94" i="3"/>
  <c r="F83" i="5"/>
  <c r="F26" i="5"/>
  <c r="F63" i="5"/>
  <c r="F23" i="4"/>
  <c r="F24" i="4"/>
  <c r="F96" i="4"/>
  <c r="F72" i="4"/>
  <c r="F131" i="2"/>
  <c r="F132" i="2"/>
  <c r="F111" i="2"/>
  <c r="F127" i="3"/>
  <c r="F185" i="5"/>
  <c r="F186" i="5"/>
  <c r="F183" i="5"/>
  <c r="F3" i="8"/>
  <c r="F85" i="6"/>
  <c r="F29" i="8"/>
  <c r="F109" i="3"/>
  <c r="F153" i="5" l="1"/>
  <c r="F37" i="5"/>
  <c r="F29" i="5"/>
  <c r="F94" i="4"/>
  <c r="F173" i="3"/>
  <c r="F224" i="5"/>
  <c r="F13" i="2"/>
  <c r="F119" i="3"/>
  <c r="F34" i="5"/>
  <c r="F140" i="3"/>
  <c r="F32" i="5"/>
  <c r="F140" i="4"/>
  <c r="F86" i="5"/>
  <c r="F123" i="6"/>
  <c r="F60" i="3"/>
  <c r="F93" i="7" l="1"/>
  <c r="F29" i="7"/>
  <c r="F56" i="13" l="1"/>
  <c r="F86" i="13"/>
  <c r="F7" i="1"/>
  <c r="F44" i="4" l="1"/>
  <c r="F200" i="4"/>
  <c r="F186" i="6" l="1"/>
  <c r="F87" i="6"/>
  <c r="F145" i="3"/>
  <c r="F25" i="1" l="1"/>
  <c r="F40" i="1"/>
  <c r="F59" i="3" l="1"/>
  <c r="F110" i="3"/>
  <c r="F205" i="4"/>
  <c r="F53" i="4"/>
  <c r="F207" i="4"/>
  <c r="F48" i="1" l="1"/>
  <c r="F80" i="2"/>
  <c r="F37" i="1"/>
  <c r="F108" i="3"/>
  <c r="F231" i="5"/>
  <c r="F30" i="2" l="1"/>
  <c r="F52" i="2"/>
  <c r="F51" i="2"/>
  <c r="F49" i="1" l="1"/>
  <c r="F204" i="4"/>
  <c r="F117" i="5"/>
  <c r="F314" i="4"/>
  <c r="F184" i="3"/>
  <c r="F107" i="2"/>
  <c r="F123" i="3"/>
  <c r="F21" i="7"/>
  <c r="F102" i="2"/>
  <c r="F44" i="1"/>
  <c r="F47" i="2"/>
  <c r="F106" i="2"/>
  <c r="F35" i="13" l="1"/>
  <c r="F8" i="7" l="1"/>
  <c r="F14" i="6"/>
  <c r="F60" i="5"/>
  <c r="F104" i="4"/>
  <c r="F80" i="4"/>
  <c r="F85" i="4"/>
  <c r="F83" i="3"/>
  <c r="F10" i="1" l="1"/>
  <c r="F11" i="1"/>
  <c r="F36" i="1"/>
  <c r="F46" i="2" l="1"/>
  <c r="F58" i="2"/>
  <c r="F9" i="1" l="1"/>
  <c r="F38" i="8"/>
  <c r="F11" i="8"/>
  <c r="F70" i="3"/>
  <c r="F40" i="4"/>
  <c r="F125" i="3"/>
  <c r="F39" i="8"/>
  <c r="F17" i="8"/>
  <c r="F127" i="2"/>
  <c r="F223" i="4"/>
  <c r="F105" i="13"/>
  <c r="F70" i="13" l="1"/>
  <c r="F67" i="13"/>
  <c r="F64" i="13"/>
  <c r="F87" i="13"/>
  <c r="F7" i="8" l="1"/>
  <c r="F54" i="5" l="1"/>
  <c r="F59" i="13" l="1"/>
  <c r="F3" i="13" l="1"/>
  <c r="F68" i="13"/>
  <c r="F4" i="13"/>
  <c r="F12" i="13"/>
  <c r="F34" i="13"/>
  <c r="F30" i="13"/>
  <c r="F33" i="13"/>
  <c r="F250" i="5" l="1"/>
  <c r="F226" i="5"/>
  <c r="F71" i="3" l="1"/>
  <c r="F93" i="13" l="1"/>
  <c r="F26" i="2" l="1"/>
  <c r="F71" i="2"/>
  <c r="F19" i="2"/>
  <c r="F50" i="13" l="1"/>
  <c r="F15" i="1" l="1"/>
  <c r="F14" i="1"/>
  <c r="F91" i="13" l="1"/>
  <c r="F247" i="4" l="1"/>
  <c r="F109" i="5" l="1"/>
  <c r="F16" i="2" l="1"/>
  <c r="F76" i="4" l="1"/>
  <c r="F18" i="5"/>
  <c r="F11" i="13" l="1"/>
  <c r="F106" i="13"/>
  <c r="F38" i="13"/>
  <c r="F9" i="13"/>
  <c r="F80" i="13"/>
  <c r="F8" i="2" l="1"/>
  <c r="F9" i="2"/>
  <c r="F34" i="3" l="1"/>
  <c r="F140" i="6" l="1"/>
  <c r="F21" i="8" l="1"/>
  <c r="F46" i="4" l="1"/>
  <c r="F11" i="5"/>
  <c r="F22" i="4" l="1"/>
  <c r="F63" i="13" l="1"/>
  <c r="F20" i="4" l="1"/>
  <c r="F81" i="5" l="1"/>
  <c r="F81" i="2" l="1"/>
  <c r="F228" i="5" l="1"/>
  <c r="F59" i="4" l="1"/>
  <c r="F239" i="5"/>
  <c r="F71" i="6"/>
  <c r="F80" i="5"/>
  <c r="F232" i="5"/>
  <c r="F229" i="5"/>
  <c r="F33" i="4"/>
  <c r="F23" i="2" l="1"/>
  <c r="F115" i="5"/>
  <c r="F15" i="8"/>
  <c r="F219" i="5" l="1"/>
  <c r="F155" i="5" l="1"/>
  <c r="F103" i="5"/>
  <c r="F274" i="4" l="1"/>
  <c r="F194" i="4" l="1"/>
  <c r="F38" i="6" l="1"/>
  <c r="F120" i="2" l="1"/>
  <c r="F32" i="2" l="1"/>
  <c r="F72" i="7"/>
  <c r="F54" i="6"/>
  <c r="F102" i="5" l="1"/>
  <c r="F72" i="6"/>
  <c r="F24" i="5"/>
  <c r="F111" i="3"/>
  <c r="F4" i="1" l="1"/>
  <c r="F57" i="13" l="1"/>
  <c r="F46" i="7" l="1"/>
  <c r="F108" i="6"/>
  <c r="F78" i="5"/>
  <c r="F251" i="4" l="1"/>
  <c r="F179" i="3" l="1"/>
  <c r="F109" i="2"/>
  <c r="F97" i="7"/>
  <c r="F42" i="8"/>
  <c r="F113" i="4"/>
  <c r="F22" i="5"/>
  <c r="F119" i="4"/>
  <c r="F79" i="7"/>
  <c r="F13" i="4"/>
  <c r="F35" i="1" l="1"/>
  <c r="F40" i="8" l="1"/>
  <c r="F44" i="8"/>
  <c r="D46" i="8"/>
  <c r="F306" i="4" l="1"/>
  <c r="F230" i="5"/>
  <c r="F76" i="5"/>
  <c r="F30" i="4" l="1"/>
  <c r="F262" i="4"/>
  <c r="F66" i="5" l="1"/>
  <c r="F43" i="7"/>
  <c r="F142" i="5" l="1"/>
  <c r="F40" i="2" l="1"/>
  <c r="F19" i="8"/>
  <c r="F19" i="4" l="1"/>
  <c r="F75" i="5"/>
  <c r="F15" i="4"/>
  <c r="F14" i="4"/>
  <c r="F92" i="7"/>
  <c r="F36" i="8"/>
  <c r="F74" i="4"/>
  <c r="F201" i="6" l="1"/>
  <c r="F200" i="6"/>
  <c r="F16" i="4"/>
  <c r="F8" i="6" l="1"/>
  <c r="F33" i="3" l="1"/>
  <c r="F45" i="8" l="1"/>
  <c r="F143" i="3" l="1"/>
  <c r="F144" i="3"/>
  <c r="F146" i="3"/>
  <c r="F147" i="3"/>
  <c r="F148" i="3"/>
  <c r="F28" i="13"/>
  <c r="F297" i="4" l="1"/>
  <c r="F41" i="7" l="1"/>
  <c r="F24" i="8" l="1"/>
  <c r="F144" i="6" l="1"/>
  <c r="F3" i="2" l="1"/>
  <c r="F149" i="6"/>
  <c r="F53" i="7"/>
  <c r="F173" i="4" l="1"/>
  <c r="F27" i="8"/>
  <c r="F313" i="4"/>
  <c r="F81" i="6"/>
  <c r="F126" i="4"/>
  <c r="F75" i="3"/>
  <c r="F52" i="5" l="1"/>
  <c r="F56" i="2"/>
  <c r="F51" i="3"/>
  <c r="F121" i="3" l="1"/>
  <c r="F141" i="3"/>
  <c r="F31" i="8"/>
  <c r="F23" i="6"/>
  <c r="F34" i="8"/>
  <c r="F82" i="7"/>
  <c r="F71" i="4" l="1"/>
  <c r="F207" i="6"/>
  <c r="F78" i="7"/>
  <c r="F68" i="5" l="1"/>
  <c r="F216" i="4" l="1"/>
  <c r="E214" i="6"/>
  <c r="F190" i="6"/>
  <c r="F104" i="13" l="1"/>
  <c r="F209" i="4" l="1"/>
  <c r="F178" i="4" l="1"/>
  <c r="F93" i="4"/>
  <c r="F7" i="6"/>
  <c r="F22" i="2"/>
  <c r="F51" i="7" l="1"/>
  <c r="F129" i="6" l="1"/>
  <c r="F215" i="4" l="1"/>
  <c r="F12" i="6" l="1"/>
  <c r="F278" i="4" l="1"/>
  <c r="F109" i="4"/>
  <c r="F37" i="4"/>
  <c r="F77" i="13" l="1"/>
  <c r="F166" i="6" l="1"/>
  <c r="F36" i="6" l="1"/>
  <c r="F61" i="13" l="1"/>
  <c r="F225" i="5" l="1"/>
  <c r="F64" i="3"/>
  <c r="F174" i="4"/>
  <c r="F172" i="4"/>
  <c r="F162" i="6" l="1"/>
  <c r="F5" i="1" l="1"/>
  <c r="F227" i="4" l="1"/>
  <c r="F187" i="6"/>
  <c r="F99" i="2"/>
  <c r="F52" i="13" l="1"/>
  <c r="F253" i="4" l="1"/>
  <c r="F100" i="2" l="1"/>
  <c r="F124" i="4" l="1"/>
  <c r="F69" i="5"/>
  <c r="F16" i="8" l="1"/>
  <c r="F203" i="5" l="1"/>
  <c r="F120" i="6"/>
  <c r="F69" i="7" l="1"/>
  <c r="F316" i="4"/>
  <c r="F39" i="13" l="1"/>
  <c r="F161" i="4" l="1"/>
  <c r="F29" i="13" l="1"/>
  <c r="F14" i="13"/>
  <c r="F37" i="13"/>
  <c r="F55" i="13"/>
  <c r="F32" i="13"/>
  <c r="F51" i="13"/>
  <c r="F48" i="13"/>
  <c r="F27" i="13"/>
  <c r="F8" i="13"/>
  <c r="F195" i="5"/>
  <c r="F6" i="13"/>
  <c r="F17" i="13"/>
  <c r="F26" i="13"/>
  <c r="F16" i="13"/>
  <c r="F20" i="13"/>
  <c r="D110" i="13"/>
  <c r="F109" i="13"/>
  <c r="F101" i="7" l="1"/>
  <c r="F12" i="3" l="1"/>
  <c r="F19" i="7"/>
  <c r="F36" i="13" l="1"/>
  <c r="F284" i="4" l="1"/>
  <c r="F276" i="4"/>
  <c r="F55" i="6" l="1"/>
  <c r="F90" i="5" l="1"/>
  <c r="F116" i="6"/>
  <c r="F141" i="6"/>
  <c r="F179" i="6"/>
  <c r="F255" i="5"/>
  <c r="F168" i="4"/>
  <c r="F61" i="7"/>
  <c r="F82" i="4"/>
  <c r="F69" i="3" l="1"/>
  <c r="F115" i="3"/>
  <c r="F40" i="3"/>
  <c r="F156" i="3"/>
  <c r="F257" i="4"/>
  <c r="F68" i="3"/>
  <c r="F67" i="3"/>
  <c r="F64" i="4" l="1"/>
  <c r="F98" i="5"/>
  <c r="F254" i="5"/>
  <c r="F104" i="2"/>
  <c r="F157" i="4" l="1"/>
  <c r="F300" i="4" l="1"/>
  <c r="F114" i="6" l="1"/>
  <c r="F132" i="4"/>
  <c r="F70" i="5"/>
  <c r="F54" i="4" l="1"/>
  <c r="F27" i="1" l="1"/>
  <c r="F56" i="3" l="1"/>
  <c r="F66" i="3"/>
  <c r="F52" i="3"/>
  <c r="F26" i="1"/>
  <c r="F84" i="2"/>
  <c r="F151" i="5" l="1"/>
  <c r="F131" i="5"/>
  <c r="F243" i="5" l="1"/>
  <c r="F112" i="6"/>
  <c r="F23" i="1" l="1"/>
  <c r="F191" i="4"/>
  <c r="F176" i="4"/>
  <c r="F185" i="4"/>
  <c r="F186" i="4"/>
  <c r="F160" i="4"/>
  <c r="F34" i="4" l="1"/>
  <c r="F287" i="4" l="1"/>
  <c r="F150" i="5" l="1"/>
  <c r="F44" i="6" l="1"/>
  <c r="F204" i="6" l="1"/>
  <c r="F241" i="5" l="1"/>
  <c r="F78" i="13" l="1"/>
  <c r="F85" i="13" l="1"/>
  <c r="F22" i="8" l="1"/>
  <c r="F79" i="5" l="1"/>
  <c r="F20" i="7"/>
  <c r="F88" i="13"/>
  <c r="F71" i="13"/>
  <c r="F23" i="8" l="1"/>
  <c r="F89" i="13" l="1"/>
  <c r="F58" i="7"/>
  <c r="F252" i="4" l="1"/>
  <c r="F163" i="6"/>
  <c r="F146" i="6"/>
  <c r="F107" i="6"/>
  <c r="F70" i="6"/>
  <c r="F80" i="6" l="1"/>
  <c r="F152" i="6"/>
  <c r="F155" i="6"/>
  <c r="F35" i="2" l="1"/>
  <c r="F302" i="4"/>
  <c r="F86" i="4"/>
  <c r="F105" i="3"/>
  <c r="F126" i="2"/>
  <c r="F7" i="13"/>
  <c r="F13" i="13"/>
  <c r="F62" i="4" l="1"/>
  <c r="F262" i="5"/>
  <c r="F78" i="4" l="1"/>
  <c r="F110" i="4" l="1"/>
  <c r="F46" i="6"/>
  <c r="F27" i="2" l="1"/>
  <c r="F124" i="5" l="1"/>
  <c r="F32" i="8" l="1"/>
  <c r="F46" i="5" l="1"/>
  <c r="F41" i="4"/>
  <c r="F11" i="6" l="1"/>
  <c r="F15" i="13"/>
  <c r="F163" i="4"/>
  <c r="F90" i="13" l="1"/>
  <c r="F101" i="13"/>
  <c r="F92" i="13" l="1"/>
  <c r="F99" i="13"/>
  <c r="F108" i="13"/>
  <c r="F94" i="13" l="1"/>
  <c r="F63" i="3"/>
  <c r="F161" i="6" l="1"/>
  <c r="F272" i="5" l="1"/>
  <c r="F10" i="6" l="1"/>
  <c r="F171" i="6"/>
  <c r="F184" i="6"/>
  <c r="F149" i="5" l="1"/>
  <c r="F113" i="2" l="1"/>
  <c r="F199" i="4"/>
  <c r="F100" i="13" l="1"/>
  <c r="F16" i="3" l="1"/>
  <c r="F10" i="3"/>
  <c r="F101" i="2" l="1"/>
  <c r="F114" i="3"/>
  <c r="F135" i="3"/>
  <c r="F112" i="2"/>
  <c r="F60" i="2"/>
  <c r="F59" i="2"/>
  <c r="F178" i="3"/>
  <c r="F112" i="3"/>
  <c r="F78" i="3"/>
  <c r="F15" i="2" l="1"/>
  <c r="F31" i="3"/>
  <c r="F124" i="3"/>
  <c r="F213" i="6" l="1"/>
  <c r="D214" i="6"/>
  <c r="F117" i="2"/>
  <c r="F30" i="3"/>
  <c r="F84" i="6"/>
  <c r="F27" i="7"/>
  <c r="F97" i="2"/>
  <c r="F279" i="4" l="1"/>
  <c r="F135" i="6"/>
  <c r="F40" i="6"/>
  <c r="F69" i="6"/>
  <c r="F73" i="3"/>
  <c r="F310" i="4"/>
  <c r="F122" i="2"/>
  <c r="F22" i="3" l="1"/>
  <c r="F273" i="4" l="1"/>
  <c r="F39" i="7"/>
  <c r="F43" i="13"/>
  <c r="F33" i="2"/>
  <c r="F67" i="7" l="1"/>
  <c r="F34" i="7"/>
  <c r="F33" i="7"/>
  <c r="F296" i="4"/>
  <c r="F145" i="6" l="1"/>
  <c r="F21" i="5" l="1"/>
  <c r="F88" i="6" l="1"/>
  <c r="F172" i="6"/>
  <c r="F87" i="4"/>
  <c r="F125" i="6" l="1"/>
  <c r="F22" i="6"/>
  <c r="F309" i="4"/>
  <c r="F147" i="6" l="1"/>
  <c r="F77" i="4" l="1"/>
  <c r="F227" i="5" l="1"/>
  <c r="F64" i="5"/>
  <c r="F97" i="5" l="1"/>
  <c r="F241" i="4" l="1"/>
  <c r="F244" i="4"/>
  <c r="F226" i="4"/>
  <c r="F298" i="4"/>
  <c r="F295" i="4"/>
  <c r="F110" i="5"/>
  <c r="F62" i="13"/>
  <c r="F70" i="4" l="1"/>
  <c r="F170" i="6"/>
  <c r="F16" i="7" l="1"/>
  <c r="F152" i="4" l="1"/>
  <c r="F66" i="13" l="1"/>
  <c r="F74" i="5" l="1"/>
  <c r="F19" i="5"/>
  <c r="F2" i="13"/>
  <c r="F35" i="7" l="1"/>
  <c r="F170" i="3"/>
  <c r="F63" i="2" l="1"/>
  <c r="F277" i="4" l="1"/>
  <c r="F45" i="7" l="1"/>
  <c r="F119" i="2" l="1"/>
  <c r="F12" i="2"/>
  <c r="F103" i="6"/>
  <c r="F75" i="4"/>
  <c r="F41" i="8"/>
  <c r="F260" i="5"/>
  <c r="F29" i="4"/>
  <c r="F42" i="5" l="1"/>
  <c r="F123" i="2"/>
  <c r="F128" i="2"/>
  <c r="F41" i="2"/>
  <c r="F125" i="5"/>
  <c r="F114" i="5"/>
  <c r="F28" i="7"/>
  <c r="F90" i="7"/>
  <c r="F211" i="6"/>
  <c r="F137" i="6"/>
  <c r="F124" i="6"/>
  <c r="F21" i="6"/>
  <c r="F89" i="7"/>
  <c r="F64" i="7"/>
  <c r="F218" i="4"/>
  <c r="F228" i="4"/>
  <c r="F183" i="6"/>
  <c r="F211" i="5"/>
  <c r="F191" i="5"/>
  <c r="E277" i="5"/>
  <c r="D277" i="5"/>
  <c r="F276" i="5"/>
  <c r="F275" i="5"/>
  <c r="F274" i="5"/>
  <c r="F259" i="5"/>
  <c r="F150" i="3"/>
  <c r="F24" i="6"/>
  <c r="F119" i="6"/>
  <c r="F277" i="5" l="1"/>
  <c r="F95" i="13"/>
  <c r="F73" i="6" l="1"/>
  <c r="F28" i="2" l="1"/>
  <c r="F130" i="5" l="1"/>
  <c r="F213" i="5" l="1"/>
  <c r="F49" i="3" l="1"/>
  <c r="F187" i="4" l="1"/>
  <c r="F5" i="6" l="1"/>
  <c r="F5" i="7" l="1"/>
  <c r="F205" i="6" l="1"/>
  <c r="F138" i="6"/>
  <c r="F190" i="5" l="1"/>
  <c r="F85" i="5"/>
  <c r="F245" i="4"/>
  <c r="F34" i="6"/>
  <c r="F138" i="4"/>
  <c r="F148" i="4"/>
  <c r="F31" i="6"/>
  <c r="F174" i="5" l="1"/>
  <c r="F36" i="7" l="1"/>
  <c r="F112" i="5"/>
  <c r="F18" i="6" l="1"/>
  <c r="F87" i="3"/>
  <c r="F251" i="5" l="1"/>
  <c r="F120" i="5" l="1"/>
  <c r="F49" i="7"/>
  <c r="F13" i="8"/>
  <c r="F26" i="8"/>
  <c r="F252" i="5" l="1"/>
  <c r="F130" i="6" l="1"/>
  <c r="F37" i="6"/>
  <c r="F280" i="4" l="1"/>
  <c r="F143" i="5"/>
  <c r="F94" i="2"/>
  <c r="F60" i="7" l="1"/>
  <c r="D187" i="3" l="1"/>
  <c r="E133" i="2"/>
  <c r="D133" i="2"/>
  <c r="F133" i="2" l="1"/>
  <c r="F104" i="3"/>
  <c r="F13" i="7" l="1"/>
  <c r="F12" i="7"/>
  <c r="F84" i="4" l="1"/>
  <c r="F172" i="5" l="1"/>
  <c r="F8" i="5" l="1"/>
  <c r="F54" i="13" l="1"/>
  <c r="F182" i="4" l="1"/>
  <c r="F101" i="4"/>
  <c r="F44" i="2" l="1"/>
  <c r="F49" i="2"/>
  <c r="F41" i="5"/>
  <c r="F5" i="13" l="1"/>
  <c r="F128" i="3" l="1"/>
  <c r="F59" i="5"/>
  <c r="F128" i="4"/>
  <c r="F87" i="5" l="1"/>
  <c r="F74" i="6" l="1"/>
  <c r="F89" i="5"/>
  <c r="F36" i="5"/>
  <c r="F27" i="5"/>
  <c r="F175" i="5"/>
  <c r="F35" i="5" l="1"/>
  <c r="F4" i="4"/>
  <c r="F36" i="4"/>
  <c r="F60" i="4"/>
  <c r="F230" i="4" l="1"/>
  <c r="F233" i="4"/>
  <c r="F43" i="4" l="1"/>
  <c r="F17" i="4" l="1"/>
  <c r="F10" i="4"/>
  <c r="F127" i="4"/>
  <c r="F182" i="6" l="1"/>
  <c r="F195" i="6"/>
  <c r="F23" i="5"/>
  <c r="F186" i="3"/>
  <c r="F188" i="5"/>
  <c r="F62" i="5"/>
  <c r="F273" i="5"/>
  <c r="F98" i="6"/>
  <c r="F81" i="13" l="1"/>
  <c r="F52" i="4" l="1"/>
  <c r="F145" i="5" l="1"/>
  <c r="F153" i="6"/>
  <c r="F269" i="5"/>
  <c r="F55" i="7"/>
  <c r="F56" i="7"/>
  <c r="F26" i="7"/>
  <c r="F32" i="1"/>
  <c r="F50" i="1" l="1"/>
  <c r="F307" i="4"/>
  <c r="F7" i="2"/>
  <c r="F10" i="2"/>
  <c r="F18" i="1"/>
  <c r="F214" i="5"/>
  <c r="F258" i="5" l="1"/>
  <c r="F197" i="5" l="1"/>
  <c r="F29" i="6" l="1"/>
  <c r="F18" i="8"/>
  <c r="F250" i="4"/>
  <c r="F9" i="5"/>
  <c r="F152" i="5"/>
  <c r="F243" i="4" l="1"/>
  <c r="F35" i="4"/>
  <c r="F125" i="4"/>
  <c r="F137" i="4"/>
  <c r="F159" i="3"/>
  <c r="F45" i="2" l="1"/>
  <c r="F61" i="2"/>
  <c r="F31" i="4"/>
  <c r="F28" i="8"/>
  <c r="F103" i="7"/>
  <c r="D104" i="7"/>
  <c r="F62" i="7"/>
  <c r="F159" i="6"/>
  <c r="F95" i="2"/>
  <c r="F74" i="2"/>
  <c r="F20" i="8"/>
  <c r="F58" i="13" l="1"/>
  <c r="F47" i="13"/>
  <c r="F42" i="13"/>
  <c r="F60" i="13"/>
  <c r="F73" i="13"/>
  <c r="F97" i="13"/>
  <c r="F82" i="13"/>
  <c r="F83" i="13"/>
  <c r="F79" i="13"/>
  <c r="F76" i="13" l="1"/>
  <c r="F98" i="13"/>
  <c r="F102" i="13"/>
  <c r="F107" i="13"/>
  <c r="F75" i="13"/>
  <c r="F21" i="13"/>
  <c r="F25" i="13"/>
  <c r="F44" i="13"/>
  <c r="F40" i="13" l="1"/>
  <c r="F96" i="13"/>
  <c r="F72" i="13"/>
  <c r="E110" i="13" l="1"/>
  <c r="F18" i="13" l="1"/>
  <c r="F23" i="13"/>
  <c r="F24" i="13"/>
  <c r="F110" i="13" l="1"/>
  <c r="F158" i="5"/>
  <c r="F95" i="5"/>
  <c r="F161" i="5"/>
  <c r="F47" i="7"/>
  <c r="F126" i="5"/>
  <c r="F176" i="3"/>
  <c r="F272" i="4"/>
  <c r="F44" i="5" l="1"/>
  <c r="F124" i="2" l="1"/>
  <c r="F40" i="5" l="1"/>
  <c r="F39" i="5"/>
  <c r="F26" i="3" l="1"/>
  <c r="F207" i="5"/>
  <c r="F305" i="4" l="1"/>
  <c r="F236" i="4" l="1"/>
  <c r="F169" i="3"/>
  <c r="F166" i="5"/>
  <c r="F163" i="5" l="1"/>
  <c r="F52" i="1" l="1"/>
  <c r="F54" i="1"/>
  <c r="F53" i="1"/>
  <c r="F56" i="5"/>
  <c r="F151" i="6" l="1"/>
  <c r="F235" i="4"/>
  <c r="F145" i="4"/>
  <c r="F285" i="4"/>
  <c r="F150" i="4"/>
  <c r="F19" i="6"/>
  <c r="F59" i="7" l="1"/>
  <c r="F50" i="7"/>
  <c r="F63" i="7"/>
  <c r="F169" i="5" l="1"/>
  <c r="F181" i="4"/>
  <c r="F87" i="7"/>
  <c r="F7" i="4"/>
  <c r="F38" i="7"/>
  <c r="F57" i="7"/>
  <c r="F275" i="4"/>
  <c r="F81" i="3" l="1"/>
  <c r="F17" i="5" l="1"/>
  <c r="F138" i="5" l="1"/>
  <c r="F151" i="4"/>
  <c r="F304" i="4"/>
  <c r="F129" i="4"/>
  <c r="F290" i="4"/>
  <c r="F17" i="2" l="1"/>
  <c r="F88" i="7"/>
  <c r="F268" i="5"/>
  <c r="F44" i="7"/>
  <c r="F42" i="7"/>
  <c r="F25" i="7"/>
  <c r="F47" i="6"/>
  <c r="F89" i="3"/>
  <c r="F9" i="4"/>
  <c r="F96" i="3"/>
  <c r="F4" i="7"/>
  <c r="F123" i="4" l="1"/>
  <c r="F206" i="6"/>
  <c r="F220" i="4"/>
  <c r="F180" i="4"/>
  <c r="F205" i="5"/>
  <c r="F120" i="3" l="1"/>
  <c r="F177" i="3"/>
  <c r="F122" i="3"/>
  <c r="F222" i="5"/>
  <c r="F131" i="3" l="1"/>
  <c r="F47" i="1" l="1"/>
  <c r="F79" i="3"/>
  <c r="F111" i="4" l="1"/>
  <c r="F73" i="4"/>
  <c r="F171" i="4"/>
  <c r="F136" i="3"/>
  <c r="F138" i="3"/>
  <c r="F65" i="7"/>
  <c r="F14" i="8"/>
  <c r="F206" i="5"/>
  <c r="F129" i="5"/>
  <c r="F99" i="5"/>
  <c r="F203" i="4"/>
  <c r="F219" i="4"/>
  <c r="F164" i="6"/>
  <c r="F91" i="7"/>
  <c r="F85" i="2" l="1"/>
  <c r="F83" i="2"/>
  <c r="F62" i="2"/>
  <c r="F253" i="5" l="1"/>
  <c r="F88" i="4" l="1"/>
  <c r="F37" i="3" l="1"/>
  <c r="F139" i="4"/>
  <c r="F48" i="2" l="1"/>
  <c r="F112" i="4" l="1"/>
  <c r="F58" i="6"/>
  <c r="F177" i="5" l="1"/>
  <c r="F49" i="6"/>
  <c r="F209" i="5"/>
  <c r="F212" i="5"/>
  <c r="F204" i="5"/>
  <c r="F76" i="7"/>
  <c r="F54" i="2" l="1"/>
  <c r="F147" i="4" l="1"/>
  <c r="F53" i="2" l="1"/>
  <c r="F90" i="3" l="1"/>
  <c r="F130" i="2" l="1"/>
  <c r="F55" i="2"/>
  <c r="F21" i="4"/>
  <c r="F264" i="5" l="1"/>
  <c r="F8" i="8"/>
  <c r="F13" i="6"/>
  <c r="F33" i="5"/>
  <c r="F178" i="6"/>
  <c r="F75" i="6" l="1"/>
  <c r="F22" i="7" l="1"/>
  <c r="F133" i="5" l="1"/>
  <c r="F96" i="5" l="1"/>
  <c r="F38" i="2"/>
  <c r="F37" i="2"/>
  <c r="F182" i="3"/>
  <c r="F209" i="6" l="1"/>
  <c r="F118" i="5"/>
  <c r="F196" i="6"/>
  <c r="F129" i="3"/>
  <c r="F216" i="5"/>
  <c r="F48" i="7" l="1"/>
  <c r="F194" i="6"/>
  <c r="F198" i="6" l="1"/>
  <c r="F69" i="2" l="1"/>
  <c r="F125" i="2"/>
  <c r="F57" i="2"/>
  <c r="F28" i="5" l="1"/>
  <c r="F181" i="3"/>
  <c r="F187" i="5" l="1"/>
  <c r="F39" i="2" l="1"/>
  <c r="F38" i="4" l="1"/>
  <c r="F156" i="5"/>
  <c r="F102" i="6" l="1"/>
  <c r="F51" i="4" l="1"/>
  <c r="F118" i="4"/>
  <c r="F120" i="4"/>
  <c r="F122" i="4"/>
  <c r="F166" i="4" l="1"/>
  <c r="F100" i="4"/>
  <c r="F99" i="4"/>
  <c r="F103" i="4"/>
  <c r="F11" i="7" l="1"/>
  <c r="F134" i="5" l="1"/>
  <c r="F82" i="5"/>
  <c r="F201" i="5"/>
  <c r="F193" i="5"/>
  <c r="F212" i="6"/>
  <c r="F32" i="6" l="1"/>
  <c r="F17" i="6"/>
  <c r="F109" i="6"/>
  <c r="F67" i="2"/>
  <c r="F48" i="6"/>
  <c r="F110" i="6"/>
  <c r="F148" i="6"/>
  <c r="F185" i="6" l="1"/>
  <c r="F113" i="6"/>
  <c r="F146" i="5"/>
  <c r="F75" i="7"/>
  <c r="F71" i="7"/>
  <c r="F94" i="7"/>
  <c r="F7" i="7"/>
  <c r="F89" i="6"/>
  <c r="F188" i="6"/>
  <c r="F238" i="4" l="1"/>
  <c r="F311" i="4" l="1"/>
  <c r="F155" i="3"/>
  <c r="F95" i="6" l="1"/>
  <c r="F119" i="5"/>
  <c r="F20" i="5"/>
  <c r="F177" i="4"/>
  <c r="F58" i="4"/>
  <c r="F45" i="4"/>
  <c r="F168" i="5" l="1"/>
  <c r="F176" i="5"/>
  <c r="F178" i="5"/>
  <c r="F160" i="5"/>
  <c r="F100" i="5"/>
  <c r="F104" i="5"/>
  <c r="F128" i="5"/>
  <c r="F132" i="5"/>
  <c r="F210" i="4"/>
  <c r="F130" i="4"/>
  <c r="F115" i="4"/>
  <c r="F11" i="4"/>
  <c r="F308" i="4"/>
  <c r="F91" i="4"/>
  <c r="F291" i="4"/>
  <c r="F114" i="4"/>
  <c r="F183" i="3"/>
  <c r="F185" i="3"/>
  <c r="F86" i="6" l="1"/>
  <c r="F177" i="6" l="1"/>
  <c r="F9" i="6"/>
  <c r="F56" i="6"/>
  <c r="F83" i="6"/>
  <c r="F160" i="6"/>
  <c r="F6" i="8"/>
  <c r="F174" i="6" l="1"/>
  <c r="F30" i="6"/>
  <c r="F131" i="6"/>
  <c r="F51" i="6"/>
  <c r="F35" i="6"/>
  <c r="F59" i="6"/>
  <c r="F189" i="4"/>
  <c r="F238" i="5"/>
  <c r="F244" i="5"/>
  <c r="F217" i="5"/>
  <c r="F263" i="5"/>
  <c r="F142" i="6"/>
  <c r="F192" i="6"/>
  <c r="F40" i="7"/>
  <c r="F23" i="7"/>
  <c r="F68" i="7"/>
  <c r="F30" i="8"/>
  <c r="F33" i="8"/>
  <c r="F62" i="3"/>
  <c r="F132" i="3"/>
  <c r="F65" i="3"/>
  <c r="F103" i="2"/>
  <c r="F39" i="4" l="1"/>
  <c r="F72" i="3" l="1"/>
  <c r="F126" i="6" l="1"/>
  <c r="F122" i="6"/>
  <c r="F299" i="4"/>
  <c r="F56" i="4"/>
  <c r="F31" i="1"/>
  <c r="E46" i="8" l="1"/>
  <c r="F50" i="2" l="1"/>
  <c r="F258" i="4" l="1"/>
  <c r="F261" i="5"/>
  <c r="F80" i="3" l="1"/>
  <c r="F154" i="4" l="1"/>
  <c r="F12" i="8"/>
  <c r="F200" i="5" l="1"/>
  <c r="F199" i="5"/>
  <c r="F7" i="5"/>
  <c r="F121" i="5"/>
  <c r="F108" i="4" l="1"/>
  <c r="F107" i="4"/>
  <c r="F48" i="3" l="1"/>
  <c r="F5" i="3"/>
  <c r="F46" i="3"/>
  <c r="F70" i="2"/>
  <c r="F29" i="1"/>
  <c r="F234" i="5" l="1"/>
  <c r="F83" i="7"/>
  <c r="F143" i="6" l="1"/>
  <c r="F157" i="6"/>
  <c r="F189" i="6"/>
  <c r="F65" i="5" l="1"/>
  <c r="F137" i="5"/>
  <c r="F105" i="4" l="1"/>
  <c r="F158" i="4"/>
  <c r="F240" i="4"/>
  <c r="F52" i="7"/>
  <c r="F153" i="4" l="1"/>
  <c r="F225" i="4"/>
  <c r="F81" i="7"/>
  <c r="F267" i="5"/>
  <c r="F25" i="8"/>
  <c r="F73" i="7"/>
  <c r="F220" i="5"/>
  <c r="F21" i="1" l="1"/>
  <c r="F121" i="2"/>
  <c r="F43" i="2"/>
  <c r="F108" i="5"/>
  <c r="F237" i="4"/>
  <c r="F3" i="7" l="1"/>
  <c r="F127" i="5" l="1"/>
  <c r="F245" i="5" l="1"/>
  <c r="F51" i="5"/>
  <c r="F101" i="5"/>
  <c r="F61" i="6" l="1"/>
  <c r="F20" i="6"/>
  <c r="F28" i="6" l="1"/>
  <c r="F106" i="6"/>
  <c r="F67" i="5" l="1"/>
  <c r="F182" i="5"/>
  <c r="F91" i="5"/>
  <c r="F88" i="5"/>
  <c r="F242" i="5"/>
  <c r="F73" i="5"/>
  <c r="F198" i="5"/>
  <c r="F266" i="5"/>
  <c r="F265" i="5"/>
  <c r="F202" i="5"/>
  <c r="F194" i="5"/>
  <c r="F77" i="5"/>
  <c r="F293" i="4"/>
  <c r="F211" i="4"/>
  <c r="F66" i="4"/>
  <c r="F131" i="4"/>
  <c r="F292" i="4"/>
  <c r="F270" i="5"/>
  <c r="F257" i="5"/>
  <c r="F170" i="5"/>
  <c r="F107" i="5"/>
  <c r="F30" i="5"/>
  <c r="F101" i="3" l="1"/>
  <c r="F107" i="3"/>
  <c r="F113" i="3"/>
  <c r="F97" i="4"/>
  <c r="F89" i="4"/>
  <c r="F261" i="4"/>
  <c r="F141" i="4"/>
  <c r="F95" i="4"/>
  <c r="F93" i="5"/>
  <c r="F218" i="5"/>
  <c r="F115" i="2"/>
  <c r="F75" i="2"/>
  <c r="F98" i="3" l="1"/>
  <c r="F63" i="4"/>
  <c r="F237" i="5"/>
  <c r="F188" i="4"/>
  <c r="F175" i="4"/>
  <c r="F99" i="7"/>
  <c r="F17" i="7"/>
  <c r="F94" i="6"/>
  <c r="F111" i="6"/>
  <c r="F92" i="6"/>
  <c r="F64" i="6" l="1"/>
  <c r="F65" i="6"/>
  <c r="F66" i="6"/>
  <c r="F159" i="4"/>
  <c r="F179" i="4"/>
  <c r="F156" i="4"/>
  <c r="F50" i="3"/>
  <c r="F32" i="3"/>
  <c r="F58" i="3"/>
  <c r="F171" i="3"/>
  <c r="F164" i="3"/>
  <c r="F163" i="3"/>
  <c r="F165" i="3"/>
  <c r="F166" i="3"/>
  <c r="F167" i="3"/>
  <c r="F160" i="3"/>
  <c r="F221" i="4"/>
  <c r="F19" i="3" l="1"/>
  <c r="F42" i="2" l="1"/>
  <c r="F167" i="4" l="1"/>
  <c r="F195" i="4"/>
  <c r="F184" i="4" l="1"/>
  <c r="F173" i="5"/>
  <c r="F248" i="4"/>
  <c r="F165" i="5"/>
  <c r="F121" i="6"/>
  <c r="F5" i="5"/>
  <c r="F229" i="4"/>
  <c r="F268" i="4"/>
  <c r="F7" i="3"/>
  <c r="F151" i="3"/>
  <c r="F5" i="4"/>
  <c r="F3" i="4"/>
  <c r="F167" i="6" l="1"/>
  <c r="F3" i="6" l="1"/>
  <c r="F168" i="6"/>
  <c r="F130" i="3"/>
  <c r="F8" i="4"/>
  <c r="F315" i="4"/>
  <c r="F317" i="4"/>
  <c r="F283" i="4"/>
  <c r="F100" i="6" l="1"/>
  <c r="F210" i="6" l="1"/>
  <c r="F154" i="6" l="1"/>
  <c r="F175" i="3" l="1"/>
  <c r="F84" i="5"/>
  <c r="F196" i="5"/>
  <c r="F47" i="5"/>
  <c r="F10" i="5"/>
  <c r="F158" i="3"/>
  <c r="F157" i="3"/>
  <c r="F136" i="6" l="1"/>
  <c r="F128" i="6"/>
  <c r="F63" i="6"/>
  <c r="F286" i="4"/>
  <c r="F143" i="4"/>
  <c r="F146" i="4"/>
  <c r="F234" i="4"/>
  <c r="F208" i="4"/>
  <c r="F198" i="4"/>
  <c r="F217" i="4"/>
  <c r="F164" i="4"/>
  <c r="F152" i="3" l="1"/>
  <c r="F17" i="3"/>
  <c r="F153" i="3"/>
  <c r="F259" i="4"/>
  <c r="F281" i="4"/>
  <c r="F169" i="4"/>
  <c r="F144" i="4"/>
  <c r="F165" i="4"/>
  <c r="F162" i="4"/>
  <c r="F121" i="4"/>
  <c r="F256" i="4"/>
  <c r="F255" i="4" l="1"/>
  <c r="F193" i="4"/>
  <c r="F196" i="4"/>
  <c r="F57" i="4"/>
  <c r="F61" i="4"/>
  <c r="F32" i="4"/>
  <c r="F25" i="4"/>
  <c r="F136" i="4" l="1"/>
  <c r="F78" i="6"/>
  <c r="F43" i="3"/>
  <c r="F9" i="3"/>
  <c r="F13" i="3"/>
  <c r="F15" i="3"/>
  <c r="F35" i="3"/>
  <c r="F27" i="3"/>
  <c r="F28" i="3"/>
  <c r="F29" i="3"/>
  <c r="F23" i="3"/>
  <c r="F55" i="4" l="1"/>
  <c r="F18" i="2"/>
  <c r="F20" i="2"/>
  <c r="F45" i="3"/>
  <c r="F139" i="3"/>
  <c r="F203" i="6" l="1"/>
  <c r="F73" i="2" l="1"/>
  <c r="F64" i="2"/>
  <c r="F30" i="1"/>
  <c r="F24" i="1"/>
  <c r="F41" i="1"/>
  <c r="F38" i="1"/>
  <c r="F39" i="6" l="1"/>
  <c r="F74" i="7"/>
  <c r="E104" i="7" l="1"/>
  <c r="E187" i="3"/>
  <c r="F208" i="6" l="1"/>
  <c r="F67" i="6"/>
  <c r="F53" i="6"/>
  <c r="F197" i="6"/>
  <c r="F77" i="7"/>
  <c r="F15" i="7"/>
  <c r="F2" i="7"/>
  <c r="F14" i="7"/>
  <c r="F175" i="6"/>
  <c r="F193" i="6"/>
  <c r="F76" i="6"/>
  <c r="F96" i="6"/>
  <c r="F43" i="6"/>
  <c r="F2" i="6"/>
  <c r="F25" i="6"/>
  <c r="F118" i="6"/>
  <c r="F16" i="6"/>
  <c r="F162" i="5"/>
  <c r="F159" i="5"/>
  <c r="F45" i="5"/>
  <c r="F184" i="5"/>
  <c r="F13" i="5"/>
  <c r="F4" i="5"/>
  <c r="F12" i="5"/>
  <c r="F116" i="5"/>
  <c r="F58" i="5"/>
  <c r="F57" i="5"/>
  <c r="F136" i="5"/>
  <c r="F135" i="5"/>
  <c r="F55" i="5"/>
  <c r="F50" i="5"/>
  <c r="F249" i="5"/>
  <c r="D318" i="4"/>
  <c r="F12" i="4"/>
  <c r="F92" i="4"/>
  <c r="F149" i="4"/>
  <c r="F232" i="4"/>
  <c r="F231" i="4"/>
  <c r="F79" i="4"/>
  <c r="F67" i="4"/>
  <c r="F65" i="4"/>
  <c r="F21" i="3"/>
  <c r="F36" i="3"/>
  <c r="F3" i="3"/>
  <c r="F4" i="3"/>
  <c r="F91" i="3"/>
  <c r="F93" i="3"/>
  <c r="F106" i="3"/>
  <c r="F118" i="3"/>
  <c r="F126" i="3"/>
  <c r="F187" i="3" l="1"/>
  <c r="F116" i="2"/>
  <c r="F2" i="2"/>
  <c r="F55" i="1" l="1"/>
  <c r="F190" i="4" l="1"/>
  <c r="F214" i="4"/>
  <c r="D55" i="1" l="1"/>
  <c r="B1" i="12" s="1"/>
  <c r="E55" i="1"/>
  <c r="E318" i="4"/>
  <c r="B2" i="12" l="1"/>
  <c r="F139" i="6"/>
  <c r="F179" i="5"/>
  <c r="F269" i="4"/>
  <c r="F271" i="4"/>
  <c r="F142" i="4"/>
  <c r="F46" i="8" l="1"/>
  <c r="F82" i="6" l="1"/>
  <c r="F60" i="6"/>
  <c r="F134" i="6"/>
  <c r="F99" i="6"/>
  <c r="F101" i="6"/>
  <c r="F104" i="6"/>
  <c r="F9" i="7"/>
  <c r="F104" i="7" s="1"/>
  <c r="F4" i="6"/>
  <c r="F167" i="5"/>
  <c r="F171" i="5"/>
  <c r="F240" i="5"/>
  <c r="F43" i="5"/>
  <c r="F154" i="5"/>
  <c r="F157" i="5"/>
  <c r="F16" i="5"/>
  <c r="F111" i="5"/>
  <c r="F214" i="6" l="1"/>
  <c r="F183" i="4" l="1"/>
  <c r="F27" i="4"/>
  <c r="F28" i="4"/>
  <c r="F242" i="4"/>
  <c r="F246" i="4"/>
  <c r="F47" i="4"/>
  <c r="F50" i="4"/>
  <c r="F264" i="4"/>
  <c r="F69" i="4"/>
  <c r="F42" i="4"/>
  <c r="F201" i="4"/>
  <c r="F206" i="4"/>
  <c r="F133" i="4"/>
  <c r="F266" i="4"/>
  <c r="F2" i="4"/>
  <c r="F224" i="4"/>
  <c r="F25" i="2"/>
  <c r="F66" i="2"/>
  <c r="F21" i="2"/>
  <c r="F318" i="4" l="1"/>
  <c r="B3" i="12" l="1"/>
</calcChain>
</file>

<file path=xl/sharedStrings.xml><?xml version="1.0" encoding="utf-8"?>
<sst xmlns="http://schemas.openxmlformats.org/spreadsheetml/2006/main" count="3713" uniqueCount="1104">
  <si>
    <t>R</t>
  </si>
  <si>
    <t>параметры</t>
  </si>
  <si>
    <t>производитель</t>
  </si>
  <si>
    <t>приход</t>
  </si>
  <si>
    <t>расход</t>
  </si>
  <si>
    <t>остаток</t>
  </si>
  <si>
    <t>примечание</t>
  </si>
  <si>
    <t>185/60</t>
  </si>
  <si>
    <t>195/55</t>
  </si>
  <si>
    <t>225/50</t>
  </si>
  <si>
    <t>215/40</t>
  </si>
  <si>
    <t>205/45</t>
  </si>
  <si>
    <t>205/55</t>
  </si>
  <si>
    <t>255/55</t>
  </si>
  <si>
    <t>235/55</t>
  </si>
  <si>
    <t>245/45</t>
  </si>
  <si>
    <t>225/65</t>
  </si>
  <si>
    <t>235/60</t>
  </si>
  <si>
    <t>235/65</t>
  </si>
  <si>
    <t>225/45</t>
  </si>
  <si>
    <t>Dunlop sp sport 01</t>
  </si>
  <si>
    <t>235/45</t>
  </si>
  <si>
    <t>Pirelli Cinturato P7</t>
  </si>
  <si>
    <t>205/50</t>
  </si>
  <si>
    <t>215/45</t>
  </si>
  <si>
    <t>235/40</t>
  </si>
  <si>
    <t>225/55</t>
  </si>
  <si>
    <t>Goodyear eagle F1</t>
  </si>
  <si>
    <t>RSC</t>
  </si>
  <si>
    <t>Good Year Excellence</t>
  </si>
  <si>
    <t>225/60</t>
  </si>
  <si>
    <t>215/65</t>
  </si>
  <si>
    <t>Bridgstone Turanza er300</t>
  </si>
  <si>
    <t>245/40</t>
  </si>
  <si>
    <t>Continental Cross Contact</t>
  </si>
  <si>
    <t>225/40</t>
  </si>
  <si>
    <t>205/40</t>
  </si>
  <si>
    <t>245/50</t>
  </si>
  <si>
    <t>Dunlop Sp Sport Maxx GT</t>
  </si>
  <si>
    <t>235/50</t>
  </si>
  <si>
    <t>Pirelli Scorpion Verde</t>
  </si>
  <si>
    <t>Pirelli P Zero</t>
  </si>
  <si>
    <t>Good Year Eficcient Grip</t>
  </si>
  <si>
    <t>255/40</t>
  </si>
  <si>
    <t>245/35</t>
  </si>
  <si>
    <t>Bridgestone Potenza S001</t>
  </si>
  <si>
    <t>255/35</t>
  </si>
  <si>
    <t>Итого</t>
  </si>
  <si>
    <t>Dunlop SP Sport maxx GT</t>
  </si>
  <si>
    <t>225/35</t>
  </si>
  <si>
    <t>275/35</t>
  </si>
  <si>
    <t>275/40</t>
  </si>
  <si>
    <t>235/35</t>
  </si>
  <si>
    <t>285/35</t>
  </si>
  <si>
    <t>Michelin Pilot Super Sport</t>
  </si>
  <si>
    <t>265/35</t>
  </si>
  <si>
    <t>Goodyear excellence</t>
  </si>
  <si>
    <t>255/30</t>
  </si>
  <si>
    <t>255/50</t>
  </si>
  <si>
    <t>285/45</t>
  </si>
  <si>
    <t>295/35</t>
  </si>
  <si>
    <t>275/30</t>
  </si>
  <si>
    <t>305/30</t>
  </si>
  <si>
    <t>255/45</t>
  </si>
  <si>
    <t>315/35</t>
  </si>
  <si>
    <t>Bridgstone Duller H/P Sport</t>
  </si>
  <si>
    <t>275/60</t>
  </si>
  <si>
    <t>265/45</t>
  </si>
  <si>
    <t xml:space="preserve"> Continental  Sport Contact 2</t>
  </si>
  <si>
    <t>Michelin Primacy 3</t>
  </si>
  <si>
    <t>Bridgstone patenza S001</t>
  </si>
  <si>
    <t>Bridgestone dueller h/p sport</t>
  </si>
  <si>
    <t xml:space="preserve">Pirelli P zero </t>
  </si>
  <si>
    <t>Continental Conti Premium Contact 2</t>
  </si>
  <si>
    <t>Hankook  Ventus Prime 2</t>
  </si>
  <si>
    <t>185/55</t>
  </si>
  <si>
    <t>215/70</t>
  </si>
  <si>
    <t>215/55</t>
  </si>
  <si>
    <t>205/60</t>
  </si>
  <si>
    <t>265/65</t>
  </si>
  <si>
    <t>Michelin Pilot sport</t>
  </si>
  <si>
    <t>215/50</t>
  </si>
  <si>
    <t>.</t>
  </si>
  <si>
    <t>Good Year Eagle F1</t>
  </si>
  <si>
    <t>Pirelli P Zero nero</t>
  </si>
  <si>
    <t>Continental SportContact 5</t>
  </si>
  <si>
    <t>Dunlop Sp Sport Maxx TT</t>
  </si>
  <si>
    <t>Pirelli P Zero rosso</t>
  </si>
  <si>
    <t>265/40</t>
  </si>
  <si>
    <t>Continental ContiPremiumContact 2</t>
  </si>
  <si>
    <t>Continental Conti SportContact 5</t>
  </si>
  <si>
    <t>275/45</t>
  </si>
  <si>
    <t>275/50</t>
  </si>
  <si>
    <t>295/30</t>
  </si>
  <si>
    <t>Bridgstone Duller h/p sport</t>
  </si>
  <si>
    <t>265/50</t>
  </si>
  <si>
    <t>285/30</t>
  </si>
  <si>
    <t xml:space="preserve"> Continental Sport Contact 2</t>
  </si>
  <si>
    <t xml:space="preserve">Pirelli P Zero </t>
  </si>
  <si>
    <t>295/40</t>
  </si>
  <si>
    <t>Bridgstone Duller H/L 400</t>
  </si>
  <si>
    <t xml:space="preserve"> Continental  Sport Contact 5</t>
  </si>
  <si>
    <t xml:space="preserve">Pirelli Scorpion Zero </t>
  </si>
  <si>
    <t>Pirelli Scorpion verde</t>
  </si>
  <si>
    <t>Общее</t>
  </si>
  <si>
    <t>Michlen Latitude sport</t>
  </si>
  <si>
    <t>Pirelli Pzero</t>
  </si>
  <si>
    <t>195/65</t>
  </si>
  <si>
    <t xml:space="preserve">195/65 </t>
  </si>
  <si>
    <t>185/65</t>
  </si>
  <si>
    <t>195/50</t>
  </si>
  <si>
    <t>Continental Premium Contact 5</t>
  </si>
  <si>
    <t>215/60</t>
  </si>
  <si>
    <t>Yokohama Geolander G91</t>
  </si>
  <si>
    <t>Continental Cross contact</t>
  </si>
  <si>
    <t>Bridgestone Potenza RE050A</t>
  </si>
  <si>
    <t>Michlen Primasy 3</t>
  </si>
  <si>
    <t>Pirelli P Zero Rosso</t>
  </si>
  <si>
    <t>Dunlop maxx TT</t>
  </si>
  <si>
    <t>Contenental Cross Contact</t>
  </si>
  <si>
    <t>Dunlop sport maxx</t>
  </si>
  <si>
    <t>Michlen Latitude sport 3</t>
  </si>
  <si>
    <t>Pirelli p zero</t>
  </si>
  <si>
    <t>Michelin Latitude diamaris</t>
  </si>
  <si>
    <t>Continentali Sport Contact 5</t>
  </si>
  <si>
    <t>Dunlop Sport maxx Gt</t>
  </si>
  <si>
    <t>275/55</t>
  </si>
  <si>
    <t>215/35</t>
  </si>
  <si>
    <t>Good Year Wrangler</t>
  </si>
  <si>
    <t xml:space="preserve">245/45 </t>
  </si>
  <si>
    <t>Michlen pilot super sport</t>
  </si>
  <si>
    <t>Continental ContiSrotContact5</t>
  </si>
  <si>
    <t>Michlen Pilot super sport</t>
  </si>
  <si>
    <t>Pirelli Centurata P1</t>
  </si>
  <si>
    <t>Michlin Latitude Diamaris</t>
  </si>
  <si>
    <t>Michlin Latitude Tour</t>
  </si>
  <si>
    <t>Continentali sport 5</t>
  </si>
  <si>
    <t>Bridgestoune Dueler hp sport</t>
  </si>
  <si>
    <t>Dunlop sp sport 270</t>
  </si>
  <si>
    <t>Bridgestoun Dueler hp sport</t>
  </si>
  <si>
    <t>Pirelli scorpion verda fll season</t>
  </si>
  <si>
    <t>Continental  Sport Contact3</t>
  </si>
  <si>
    <t>Yokohama advan sport</t>
  </si>
  <si>
    <t>315/40</t>
  </si>
  <si>
    <t>Bridgestoun Turanza T001</t>
  </si>
  <si>
    <t>Michelin Pilot sport 3</t>
  </si>
  <si>
    <t>Hankook ventus s1evo2</t>
  </si>
  <si>
    <t>Continental Premium Contact 2</t>
  </si>
  <si>
    <t>Bridgestoune Dueller</t>
  </si>
  <si>
    <t xml:space="preserve">255/50 </t>
  </si>
  <si>
    <t>265/60</t>
  </si>
  <si>
    <t>2rsc</t>
  </si>
  <si>
    <t>Continental Conti Contact3</t>
  </si>
  <si>
    <t>Bridgestone S001</t>
  </si>
  <si>
    <t>D</t>
  </si>
  <si>
    <t>Dunlop sp sport maxx</t>
  </si>
  <si>
    <t>Dunlop sp sport maxx 050</t>
  </si>
  <si>
    <t>205 / 55</t>
  </si>
  <si>
    <t>DUBAI</t>
  </si>
  <si>
    <t>d</t>
  </si>
  <si>
    <t>285/50</t>
  </si>
  <si>
    <t xml:space="preserve">  </t>
  </si>
  <si>
    <t>Dunlop Grandtrek</t>
  </si>
  <si>
    <t>Dunlop sp maxx 050</t>
  </si>
  <si>
    <t>Dunlop SP Sport maxx TT</t>
  </si>
  <si>
    <t>245/60</t>
  </si>
  <si>
    <t xml:space="preserve">Pirelli P Zero nero </t>
  </si>
  <si>
    <t>Michelin Latitude Diamaris</t>
  </si>
  <si>
    <t>Bridgestone Turanze T001</t>
  </si>
  <si>
    <t>Bridgestoune potenza re050</t>
  </si>
  <si>
    <t>Michelin energy</t>
  </si>
  <si>
    <t>Dunlop Sp Sport maxx TT</t>
  </si>
  <si>
    <t>2d</t>
  </si>
  <si>
    <t>325/35</t>
  </si>
  <si>
    <t>285/40</t>
  </si>
  <si>
    <t>Continentali Cross lx</t>
  </si>
  <si>
    <t>Continental Conti Contact 3</t>
  </si>
  <si>
    <t>Continental Conti Contact 5</t>
  </si>
  <si>
    <t>4d</t>
  </si>
  <si>
    <t>d RSC</t>
  </si>
  <si>
    <t>Contenentali Contact LX</t>
  </si>
  <si>
    <t>Dunlop QUATROMAXX</t>
  </si>
  <si>
    <t>Bridgestone Dueller H/T</t>
  </si>
  <si>
    <t>Dunlop sp spor maaxx J</t>
  </si>
  <si>
    <t>Pirelli ALL Season</t>
  </si>
  <si>
    <t>Good year eficient Grip</t>
  </si>
  <si>
    <t>Good Year Eagle Ls 2</t>
  </si>
  <si>
    <t>Michelin Primasy h/p</t>
  </si>
  <si>
    <t>d.RSC</t>
  </si>
  <si>
    <t>Bridgestone Turanza er33</t>
  </si>
  <si>
    <t>Michelin Pilot Sport</t>
  </si>
  <si>
    <t>Continentali Sport 6</t>
  </si>
  <si>
    <t>Pirelli P Zero Nero</t>
  </si>
  <si>
    <t>215/40/45</t>
  </si>
  <si>
    <t>235/40/45</t>
  </si>
  <si>
    <t>275.285</t>
  </si>
  <si>
    <t>245/30/35</t>
  </si>
  <si>
    <t>255/45/50</t>
  </si>
  <si>
    <t>275/30/35</t>
  </si>
  <si>
    <t>255/50/55</t>
  </si>
  <si>
    <t>265/30/35</t>
  </si>
  <si>
    <t>285/35/40/45/50</t>
  </si>
  <si>
    <t>295/35/40</t>
  </si>
  <si>
    <t>Dunlop Sp Sport maxx RT</t>
  </si>
  <si>
    <t>Contenental sport Contact 5</t>
  </si>
  <si>
    <t>Goodyear F1 Asimetric2</t>
  </si>
  <si>
    <t/>
  </si>
  <si>
    <t xml:space="preserve"> </t>
  </si>
  <si>
    <t>Pirelli Allseason rsc</t>
  </si>
  <si>
    <t>Continetal Contact 5</t>
  </si>
  <si>
    <t>Dunlop sp sport 050+</t>
  </si>
  <si>
    <t>Michelen Latitude Tour hp</t>
  </si>
  <si>
    <t>Continental Cross Contac</t>
  </si>
  <si>
    <t>6d</t>
  </si>
  <si>
    <t xml:space="preserve">Continental 4x4 Contact </t>
  </si>
  <si>
    <t>Michlen Pilot Super Sport</t>
  </si>
  <si>
    <t>255/60</t>
  </si>
  <si>
    <t>285/60</t>
  </si>
  <si>
    <t>Dunlop Granrek AT22</t>
  </si>
  <si>
    <t>Hankook Ventus S+</t>
  </si>
  <si>
    <t>Dunlop sp maxx RT</t>
  </si>
  <si>
    <t>Coodyear Egel F1 4x4</t>
  </si>
  <si>
    <t xml:space="preserve">Yokohama Advan Sport </t>
  </si>
  <si>
    <t xml:space="preserve">Pirelli scorpion zero </t>
  </si>
  <si>
    <t xml:space="preserve">Pirelli All season </t>
  </si>
  <si>
    <t xml:space="preserve">d </t>
  </si>
  <si>
    <t>Michlen Pilot sport</t>
  </si>
  <si>
    <t>Ykohama Blue E51</t>
  </si>
  <si>
    <t>Yokohama Geolander Suv</t>
  </si>
  <si>
    <t>Pirelli Scorpion Zero</t>
  </si>
  <si>
    <t>Bridgestoun Potenza RE 050A</t>
  </si>
  <si>
    <t>Dunlop sp sport maxx 050+</t>
  </si>
  <si>
    <t>Pirelli Scorpion Verda</t>
  </si>
  <si>
    <t>Continental Premium 2</t>
  </si>
  <si>
    <t>Goodyear Eagle F1</t>
  </si>
  <si>
    <t>205/65</t>
  </si>
  <si>
    <t>Nexen N7000</t>
  </si>
  <si>
    <t>Dunlop Sport 2050 m</t>
  </si>
  <si>
    <t>295/45</t>
  </si>
  <si>
    <t>Michlen Pilot Sport 3</t>
  </si>
  <si>
    <t>Dunlop SP Sport Maxx</t>
  </si>
  <si>
    <t>Good Year Efficient Grip PerFormance</t>
  </si>
  <si>
    <t>Bridgestone Dueler HL 400</t>
  </si>
  <si>
    <t xml:space="preserve">255/45 </t>
  </si>
  <si>
    <t>Goodyear Effecint Grip 4x4</t>
  </si>
  <si>
    <t>Continental Sport5</t>
  </si>
  <si>
    <t>255/70</t>
  </si>
  <si>
    <t>Pirelli Cinturato P1</t>
  </si>
  <si>
    <t>Pirelli All Season</t>
  </si>
  <si>
    <t>Michlen exaclo</t>
  </si>
  <si>
    <t>Continentali sport contact 5</t>
  </si>
  <si>
    <t>Goodyear Efficient Grip</t>
  </si>
  <si>
    <t>Good Year Efficient excellence</t>
  </si>
  <si>
    <t>Michlen energy saver</t>
  </si>
  <si>
    <t>Bridgestone B390</t>
  </si>
  <si>
    <t>225/60/65</t>
  </si>
  <si>
    <t>Pirelli Pzero Rosso</t>
  </si>
  <si>
    <t>Michelin energy saver</t>
  </si>
  <si>
    <t>Ykohama db decibel</t>
  </si>
  <si>
    <t>Bridgestone Turanza GR 90</t>
  </si>
  <si>
    <t xml:space="preserve">Pirelli Scorpion verda </t>
  </si>
  <si>
    <t>Pirelli P1</t>
  </si>
  <si>
    <t>Michelin Ls (MXV4)</t>
  </si>
  <si>
    <t xml:space="preserve">215/70 </t>
  </si>
  <si>
    <t>Good Year Eagle F1 4x4</t>
  </si>
  <si>
    <t>Bridgestoune Dueler hp 400</t>
  </si>
  <si>
    <t>Continental Eco Contact 5</t>
  </si>
  <si>
    <t>Bridgestone Altenza 001</t>
  </si>
  <si>
    <t xml:space="preserve">Bridgestoune Turanza T001 </t>
  </si>
  <si>
    <t>Continental Conti Premium 5</t>
  </si>
  <si>
    <t>Continental Premium Contact 6</t>
  </si>
  <si>
    <t>Continental Sport Contact 5</t>
  </si>
  <si>
    <t>Dunlop Sp Sport maxx 050+</t>
  </si>
  <si>
    <t>Continental Sport Contact5</t>
  </si>
  <si>
    <t>Dunlop veuro ve 303</t>
  </si>
  <si>
    <t>Dunlop Sp Sport Maxx 050+</t>
  </si>
  <si>
    <t>Continental Sportcontact5</t>
  </si>
  <si>
    <t>Bridgestone Turanza S001</t>
  </si>
  <si>
    <t>Dunlop Sp Sport 050+</t>
  </si>
  <si>
    <t>Hankook Henlus S1 evo 2</t>
  </si>
  <si>
    <t>Continental Cross LX Sport</t>
  </si>
  <si>
    <t>315/30</t>
  </si>
  <si>
    <t>Bridgestoun Turanza EL440</t>
  </si>
  <si>
    <t>Dunlop Sp Sport 9000</t>
  </si>
  <si>
    <t>Continental Sport Contact 3</t>
  </si>
  <si>
    <t>Bridgestone potenza RE97AS</t>
  </si>
  <si>
    <t>Continental Contact 5</t>
  </si>
  <si>
    <t>Dunlop Sport Maxx RT</t>
  </si>
  <si>
    <t xml:space="preserve"> Continental Crros Contact </t>
  </si>
  <si>
    <t>Continental Conti Pro Contact </t>
  </si>
  <si>
    <t xml:space="preserve">Continentali Cross Contact </t>
  </si>
  <si>
    <t>140/80</t>
  </si>
  <si>
    <t>Michlen Macadan 50 (мото) 2012</t>
  </si>
  <si>
    <t>Metzeler Tou Rance (мото) 2012</t>
  </si>
  <si>
    <t>120/70</t>
  </si>
  <si>
    <t>Bridgestone Battlax T30F(мото)2015</t>
  </si>
  <si>
    <t>МОТО ШИНЫ</t>
  </si>
  <si>
    <t>Dunlop Granrek ST 30</t>
  </si>
  <si>
    <t>Dunlop Sport Maxx 050 +</t>
  </si>
  <si>
    <t>Dunlop sp sport 5000m</t>
  </si>
  <si>
    <t xml:space="preserve">Dunlop LE Mans V </t>
  </si>
  <si>
    <t>Dunlop Sp Sport Maxx  050+</t>
  </si>
  <si>
    <t>Continental Conti Sport Contact 5</t>
  </si>
  <si>
    <t>Hankook Ventus Prime 2</t>
  </si>
  <si>
    <t>Pirelli P zero</t>
  </si>
  <si>
    <t>?</t>
  </si>
  <si>
    <t>Michlen Energy Saver</t>
  </si>
  <si>
    <t>Continental Premium Contact</t>
  </si>
  <si>
    <t>Bridgestone Turanza T001</t>
  </si>
  <si>
    <t>Goodyear Eagle NGT 5</t>
  </si>
  <si>
    <t>Bridgestone Potenza Re050A</t>
  </si>
  <si>
    <t>Pirelli P Zero TM</t>
  </si>
  <si>
    <t>Bridgestone Turanza er300</t>
  </si>
  <si>
    <t xml:space="preserve">Continental Cross Contact </t>
  </si>
  <si>
    <t xml:space="preserve">Bridgestone Dueller </t>
  </si>
  <si>
    <t>ремонт</t>
  </si>
  <si>
    <t>Bridgestone Dueler H/T 684</t>
  </si>
  <si>
    <t>Michelin Latitude Sport</t>
  </si>
  <si>
    <t>Dunlop Grandtrek RT2A</t>
  </si>
  <si>
    <t>Michelin Latitude Tour HP</t>
  </si>
  <si>
    <t>Dunlop Sp Sport Maxx</t>
  </si>
  <si>
    <t>d мяг</t>
  </si>
  <si>
    <t>Coodyear Eagle F1</t>
  </si>
  <si>
    <t xml:space="preserve">Michelin Pilot Sport </t>
  </si>
  <si>
    <t>Bridgestone Turanza GR-90</t>
  </si>
  <si>
    <t>Dunlop hp Grantrek AT20</t>
  </si>
  <si>
    <t>325/30</t>
  </si>
  <si>
    <t>Bridgestone Turanza T005A</t>
  </si>
  <si>
    <t>Pirelli scopion verde</t>
  </si>
  <si>
    <t>Dunlop Sp Sport 7000</t>
  </si>
  <si>
    <t>Michelin Latitude hp</t>
  </si>
  <si>
    <t xml:space="preserve"> Continental 4x4 Contact </t>
  </si>
  <si>
    <t>Bridgestone Turanza er 33</t>
  </si>
  <si>
    <t>Bridgestoune Potenza S001</t>
  </si>
  <si>
    <t xml:space="preserve">Michlen Pilot Primacy </t>
  </si>
  <si>
    <t>Bridgestone Turanza ER300</t>
  </si>
  <si>
    <t>Michelin Energy Saver</t>
  </si>
  <si>
    <t>Pirelli Pzero TM</t>
  </si>
  <si>
    <t>195/45</t>
  </si>
  <si>
    <t>Dunlop Sp Sport 270</t>
  </si>
  <si>
    <t>Toyo Proxes R40</t>
  </si>
  <si>
    <t>Michelin Pilot  Sport 4</t>
  </si>
  <si>
    <t>Bridgestoun Turanza T005</t>
  </si>
  <si>
    <t>Dunlop Grandtrek St 30</t>
  </si>
  <si>
    <t>Yokohama Sport v105</t>
  </si>
  <si>
    <t>Pirelli Scorpion verda</t>
  </si>
  <si>
    <t>Goodyear Eagle F1 Asymmetric 3</t>
  </si>
  <si>
    <t xml:space="preserve">Continental Sport Contact 6 </t>
  </si>
  <si>
    <t>Hankook Ventus S1 evo 2</t>
  </si>
  <si>
    <t>Pirelli p zero TM</t>
  </si>
  <si>
    <t>Michlen Latitude Tour HP</t>
  </si>
  <si>
    <t>Continental 4x4 contact</t>
  </si>
  <si>
    <t>2d.RSC</t>
  </si>
  <si>
    <t>Contintal Sport Contact 5</t>
  </si>
  <si>
    <t>новые</t>
  </si>
  <si>
    <t>Continental Sport 5</t>
  </si>
  <si>
    <t xml:space="preserve">Michlin Latitude sport </t>
  </si>
  <si>
    <t>Bridgstone Duller hp sport AS</t>
  </si>
  <si>
    <t>Good Year Efficient Grip RSC</t>
  </si>
  <si>
    <t>Bridgestone Turanza T005</t>
  </si>
  <si>
    <t>Michlen Primacy 3 St</t>
  </si>
  <si>
    <t>Nexen Nfera SU1</t>
  </si>
  <si>
    <t>Pirelli Pzero TM RSC</t>
  </si>
  <si>
    <t>Bridgestone Alenza 001</t>
  </si>
  <si>
    <t>Continental Sport 3 RSC</t>
  </si>
  <si>
    <t>Contenental Conti Eco Contact 5</t>
  </si>
  <si>
    <t>Continentali ContSport 3</t>
  </si>
  <si>
    <t>Continental Premium</t>
  </si>
  <si>
    <t>новый D</t>
  </si>
  <si>
    <t>Yokohama Advan Sport V 105</t>
  </si>
  <si>
    <t>2 слабых</t>
  </si>
  <si>
    <t>Michlen Pilot Super Gup 2</t>
  </si>
  <si>
    <t>Pinso PS 91</t>
  </si>
  <si>
    <t>Continental Conti Sport Contact5</t>
  </si>
  <si>
    <t xml:space="preserve">Bridgestone Duler h/l </t>
  </si>
  <si>
    <t>слабый</t>
  </si>
  <si>
    <t>Pirelli Scorpion STR</t>
  </si>
  <si>
    <t>слабые</t>
  </si>
  <si>
    <t xml:space="preserve">Hankook S1 Evo 2 </t>
  </si>
  <si>
    <t>Dunlop sp sport maxx 050 DSST</t>
  </si>
  <si>
    <t xml:space="preserve">Mishelin Latitude H/P </t>
  </si>
  <si>
    <t xml:space="preserve">Bridgestone Turanza T001 </t>
  </si>
  <si>
    <t xml:space="preserve">Cood Year Eagle RVF </t>
  </si>
  <si>
    <t>2 слабые</t>
  </si>
  <si>
    <t xml:space="preserve">Michelin Pilot Primasy 3 st </t>
  </si>
  <si>
    <t>Michelin latiduda sport 3</t>
  </si>
  <si>
    <t>Dunlop SP Sport maxx 050+</t>
  </si>
  <si>
    <t>Dunlop Sport Maxx 050+</t>
  </si>
  <si>
    <t>235/30</t>
  </si>
  <si>
    <t>1ремонт</t>
  </si>
  <si>
    <t>Continental sport Continental 5</t>
  </si>
  <si>
    <t xml:space="preserve">Bridgstone Alenza 001 </t>
  </si>
  <si>
    <t>разные</t>
  </si>
  <si>
    <t>2 слабый</t>
  </si>
  <si>
    <t>Bridgestoun Potenza S007</t>
  </si>
  <si>
    <t>Michelin Pilot Sport 4S</t>
  </si>
  <si>
    <t>Michelin Pilot sport Cup 2</t>
  </si>
  <si>
    <t>Michlen Primacy 4X4</t>
  </si>
  <si>
    <t>Michlen Pilot Sport 4</t>
  </si>
  <si>
    <t>Hankook Optima 426</t>
  </si>
  <si>
    <t>Bridgestone Turanza ER 33</t>
  </si>
  <si>
    <t xml:space="preserve">Pirelli P1 </t>
  </si>
  <si>
    <t>Michelin Primasy 4</t>
  </si>
  <si>
    <t>Dunlop SP Sport Maxx 050+</t>
  </si>
  <si>
    <t xml:space="preserve">Rodstoun NBLUE </t>
  </si>
  <si>
    <t>Dunlop Sp Sport Max GT</t>
  </si>
  <si>
    <t>4 слабый</t>
  </si>
  <si>
    <t xml:space="preserve">d 4 слабых </t>
  </si>
  <si>
    <t>Pirelli scorpion verda All season</t>
  </si>
  <si>
    <t>Dunlop Grandtrek AT 22</t>
  </si>
  <si>
    <t xml:space="preserve"> d</t>
  </si>
  <si>
    <t>Dunlop Sp Sport Maxx (Новые)</t>
  </si>
  <si>
    <t>Dunlop Sp0 Sport maxx 050+</t>
  </si>
  <si>
    <t xml:space="preserve">Bridgestoun Dueler H/P Sport </t>
  </si>
  <si>
    <t>Coodyear Eagle F1 4x4</t>
  </si>
  <si>
    <t>Pirelli Pzero RSC</t>
  </si>
  <si>
    <t>Good Year Efficient Grip Comfort</t>
  </si>
  <si>
    <t>Continental Sport Contact 5P</t>
  </si>
  <si>
    <t xml:space="preserve">Pirelli Cinturato P7 All Season </t>
  </si>
  <si>
    <t>Michlen Primacy 4</t>
  </si>
  <si>
    <t>Dunlop sp maxx 050+</t>
  </si>
  <si>
    <t>Continental Conti Power Contact eco</t>
  </si>
  <si>
    <t xml:space="preserve">Michlen Sport Cup2 </t>
  </si>
  <si>
    <t>Toyo Tranhart MP Z</t>
  </si>
  <si>
    <t>Ykohama BluEarth E75</t>
  </si>
  <si>
    <t>Michelin Pilot Sport4</t>
  </si>
  <si>
    <t>Michelin Primacy 4</t>
  </si>
  <si>
    <t>Good Year Eagle Sport</t>
  </si>
  <si>
    <t>Pirelli Centurata P7</t>
  </si>
  <si>
    <t>слабая</t>
  </si>
  <si>
    <t>RSC d</t>
  </si>
  <si>
    <t>Bridgestone Dueler h/l</t>
  </si>
  <si>
    <t>Bridgstone Duller HL 33A</t>
  </si>
  <si>
    <t>Dunlop Ve303</t>
  </si>
  <si>
    <t>Michelin Primasy 3 st</t>
  </si>
  <si>
    <t>Continental Cross Contact LX2</t>
  </si>
  <si>
    <t xml:space="preserve"> RSC</t>
  </si>
  <si>
    <t>Hankook V12 Evo2</t>
  </si>
  <si>
    <t>305/45</t>
  </si>
  <si>
    <t>Hankook Ventus ST</t>
  </si>
  <si>
    <t>Yokohama dB decibel E70</t>
  </si>
  <si>
    <t xml:space="preserve">8 ш 6+  </t>
  </si>
  <si>
    <t>drsc</t>
  </si>
  <si>
    <t>Dunlop Sp Sport LM705</t>
  </si>
  <si>
    <t>Good Year Eagle RS-A</t>
  </si>
  <si>
    <t>Dunlop Sport Maxx GT</t>
  </si>
  <si>
    <t xml:space="preserve">слабые </t>
  </si>
  <si>
    <t>Goodyear Eagle F1 Ass3</t>
  </si>
  <si>
    <t xml:space="preserve">225/45 </t>
  </si>
  <si>
    <t>Michlen Primacy 4 2019</t>
  </si>
  <si>
    <t>Ykohama dB decidel E70</t>
  </si>
  <si>
    <t xml:space="preserve">Good Year eco Stade </t>
  </si>
  <si>
    <t>Hankook Optimo K415</t>
  </si>
  <si>
    <t xml:space="preserve">Pirelli Pzero Corsa </t>
  </si>
  <si>
    <t xml:space="preserve">Bridgestoun Nextry </t>
  </si>
  <si>
    <t>Bridgstone Tvranza EL 440</t>
  </si>
  <si>
    <t>Michelin Latitude sport3</t>
  </si>
  <si>
    <t>Good Year Eagle F1 Asemetric 2</t>
  </si>
  <si>
    <t>4 слабые</t>
  </si>
  <si>
    <t>Michelin Pilot Sport 4</t>
  </si>
  <si>
    <t xml:space="preserve">4 хлам </t>
  </si>
  <si>
    <t>Yokohama Geolander G95</t>
  </si>
  <si>
    <t>Michlen Cross Climate</t>
  </si>
  <si>
    <t>Continental Premium Contact2</t>
  </si>
  <si>
    <t xml:space="preserve">Bridgestoun Dueler H/P </t>
  </si>
  <si>
    <t>Yokohama dB decibel E70D</t>
  </si>
  <si>
    <t xml:space="preserve">Yokohama Avid Ascend </t>
  </si>
  <si>
    <t>Continentali Cross Contact UHP</t>
  </si>
  <si>
    <t xml:space="preserve">Pirelli Scorpion All Seasor </t>
  </si>
  <si>
    <t>Hankook Ventus S1 AS</t>
  </si>
  <si>
    <t>Bridgestoun Dueler H/L Alenza</t>
  </si>
  <si>
    <t>Continental SportContact 3 RSC</t>
  </si>
  <si>
    <t>Dunlop Direzza DZ102</t>
  </si>
  <si>
    <t>Yokohama BluEarth-GT AE51</t>
  </si>
  <si>
    <t>Yokohama BluEarth A34</t>
  </si>
  <si>
    <t>Bridgestone Ponetza S001</t>
  </si>
  <si>
    <t>Bridgstone patenza RE050A</t>
  </si>
  <si>
    <t>Bridgstone Potenza RE050A</t>
  </si>
  <si>
    <t xml:space="preserve">Yokohama Advan db decibel </t>
  </si>
  <si>
    <t>Continental ECO Contact 5</t>
  </si>
  <si>
    <t>Michelin Latitude sport</t>
  </si>
  <si>
    <t>Michelin Latidude Sport 3</t>
  </si>
  <si>
    <t>Cood Year Egel F1 Asymmetric3</t>
  </si>
  <si>
    <t>Continentali Conti Sport 5</t>
  </si>
  <si>
    <t>Bridgestoun Alenza 001</t>
  </si>
  <si>
    <t>Bridgestoun Rengo GR-XI</t>
  </si>
  <si>
    <t>Bridgestone Turanza Gr-90</t>
  </si>
  <si>
    <t>Bridgstone Turanza T005A</t>
  </si>
  <si>
    <t>Coodyear Eagle F1 Asymmetric 3</t>
  </si>
  <si>
    <t>Continental Sport Contact 6</t>
  </si>
  <si>
    <t>Yokohama Bluearth E51</t>
  </si>
  <si>
    <t>Bridgestoun Dueller H/L 850</t>
  </si>
  <si>
    <t>Michlen Primacy LC</t>
  </si>
  <si>
    <t>Bridgestone Dueler H/T 840</t>
  </si>
  <si>
    <t>Dunlop Verda ve 303</t>
  </si>
  <si>
    <t>d 2 трещены</t>
  </si>
  <si>
    <t>Dunlop Sp Sport Maxx 01</t>
  </si>
  <si>
    <t>Michlen Pilot sport 4</t>
  </si>
  <si>
    <t>Continental Premium 6</t>
  </si>
  <si>
    <t>2RSC</t>
  </si>
  <si>
    <t>Dunlop Enasevl EC 300</t>
  </si>
  <si>
    <t>Bridgestoun Dueler H/L 33</t>
  </si>
  <si>
    <t>Michlen Pilot Sport 3 Zp</t>
  </si>
  <si>
    <t>Dunlop Granrek AT25</t>
  </si>
  <si>
    <t>RSC D</t>
  </si>
  <si>
    <t xml:space="preserve">Pirelli Scorpion Verde ALL </t>
  </si>
  <si>
    <t>Continental SportContact5</t>
  </si>
  <si>
    <t>d 2018</t>
  </si>
  <si>
    <t>слабыей</t>
  </si>
  <si>
    <t>Dunlop SP Sport Maxx 050</t>
  </si>
  <si>
    <t>Goodyear EFficient Grip 4x4</t>
  </si>
  <si>
    <t xml:space="preserve">Nankang Ultra Sport </t>
  </si>
  <si>
    <t>Pirelli  Cinturato P7</t>
  </si>
  <si>
    <t>2 RSC</t>
  </si>
  <si>
    <t>d 2RSC</t>
  </si>
  <si>
    <t>Dunlop Grandtrek PT 30</t>
  </si>
  <si>
    <t>175/65</t>
  </si>
  <si>
    <t xml:space="preserve"> DUBAI</t>
  </si>
  <si>
    <t xml:space="preserve">Bridgestone Turanza S001 </t>
  </si>
  <si>
    <t>Pirelli Zero All Season</t>
  </si>
  <si>
    <t>Bridgestoun  Dueler H/L 33</t>
  </si>
  <si>
    <t>Michlen Primycy 4</t>
  </si>
  <si>
    <t>d2 кривые</t>
  </si>
  <si>
    <t>RSCd</t>
  </si>
  <si>
    <t>d 2019</t>
  </si>
  <si>
    <t>Michelin Pilot Sport Cup2</t>
  </si>
  <si>
    <t>2018d</t>
  </si>
  <si>
    <t xml:space="preserve">Toyo Proxes Sport </t>
  </si>
  <si>
    <t>2020 d</t>
  </si>
  <si>
    <t>Bridgestone  Dueeler 92А</t>
  </si>
  <si>
    <t>Michelin Primasy3</t>
  </si>
  <si>
    <t>Bridgestona Ecopia Hl422</t>
  </si>
  <si>
    <t>Continental Eco Contact 6</t>
  </si>
  <si>
    <t>Pirelli Scorpion TM</t>
  </si>
  <si>
    <t>Good Year Eagle F1 AT</t>
  </si>
  <si>
    <t xml:space="preserve">d 8 слабых </t>
  </si>
  <si>
    <t>1d</t>
  </si>
  <si>
    <t>Goodyear Eficient 4x4</t>
  </si>
  <si>
    <t>Bridgestone Dueller H/L 400</t>
  </si>
  <si>
    <t>Bridgestone HL422</t>
  </si>
  <si>
    <t>Hankook Kinergy GT</t>
  </si>
  <si>
    <t>Dunlop Maxx 050 DSST</t>
  </si>
  <si>
    <t>rsc</t>
  </si>
  <si>
    <t>Dunlop Sp Sport 300+</t>
  </si>
  <si>
    <t>Conitenentali Cross Contact UHP</t>
  </si>
  <si>
    <t xml:space="preserve">Pirell Scopion Zer </t>
  </si>
  <si>
    <t>Bridgestone Regno GR-XI</t>
  </si>
  <si>
    <t>Kumho Grugen HP91</t>
  </si>
  <si>
    <t>Dunlop Evasave EC 300+</t>
  </si>
  <si>
    <t>Kumho 1 Portran KC53 ©</t>
  </si>
  <si>
    <t xml:space="preserve">Falken Wildpeak H/T </t>
  </si>
  <si>
    <t>Bridgstonun Turanza T005A</t>
  </si>
  <si>
    <t>Bridgestoun Turanza ER370</t>
  </si>
  <si>
    <t>Dunlop Sp Sport LM 705</t>
  </si>
  <si>
    <t>Contenental Cross Contact UHP</t>
  </si>
  <si>
    <t>Continental ProContact SSR</t>
  </si>
  <si>
    <t>Kumho Krugen</t>
  </si>
  <si>
    <t>Michelin Cup2</t>
  </si>
  <si>
    <t>Hankook</t>
  </si>
  <si>
    <t>Michlen Pilot Sport 4s</t>
  </si>
  <si>
    <t xml:space="preserve">Continental sport Contact 5 </t>
  </si>
  <si>
    <t>4 слабых</t>
  </si>
  <si>
    <t>Coodyear Eagle F1 Asymmetric 2</t>
  </si>
  <si>
    <t>Bridgestone Dueller 684</t>
  </si>
  <si>
    <t>Continental ContiVanContac 200</t>
  </si>
  <si>
    <t>d (с)</t>
  </si>
  <si>
    <t>Bridgestone RE050A</t>
  </si>
  <si>
    <t>Michlen Primasy 4</t>
  </si>
  <si>
    <t>Bridgestone Turanza T001 RSC</t>
  </si>
  <si>
    <t>Dunlop Veuro ve 303</t>
  </si>
  <si>
    <t>4RSC D</t>
  </si>
  <si>
    <t>Toyo Proxes R46</t>
  </si>
  <si>
    <t>223/50</t>
  </si>
  <si>
    <t xml:space="preserve">Pirelli Pzero TM </t>
  </si>
  <si>
    <t>Continental EcoContact 6</t>
  </si>
  <si>
    <t>Michelin Latitude Sport3</t>
  </si>
  <si>
    <t>305/40</t>
  </si>
  <si>
    <t>Conitenentali PremiumContact6</t>
  </si>
  <si>
    <t>Bridgestone Dueler HL HP</t>
  </si>
  <si>
    <t>Yokohama Bluearth e70</t>
  </si>
  <si>
    <t xml:space="preserve">Continental EcoContact6 </t>
  </si>
  <si>
    <t>Good Year Assimetric3</t>
  </si>
  <si>
    <t>165/65</t>
  </si>
  <si>
    <t>Dunlop BlueResponse</t>
  </si>
  <si>
    <t>Michelin Primasy4</t>
  </si>
  <si>
    <t xml:space="preserve">Continental PremiumContac6 </t>
  </si>
  <si>
    <t>Continental Premium 6 rsc</t>
  </si>
  <si>
    <t>4RSC</t>
  </si>
  <si>
    <t>Continental PremiumContact6</t>
  </si>
  <si>
    <t>Cood Year EagleF1 Ass5</t>
  </si>
  <si>
    <t>Pirelli Scorpion All Season</t>
  </si>
  <si>
    <t>Good Year Efficient Grip PerFormance2</t>
  </si>
  <si>
    <t>Michelin Latitude Sport3 ZP</t>
  </si>
  <si>
    <t>Dunlop SportFustResponse</t>
  </si>
  <si>
    <t>185/50</t>
  </si>
  <si>
    <t>Continental ContinEcoContact5</t>
  </si>
  <si>
    <t>Continentali Sport 4X4</t>
  </si>
  <si>
    <t>4шт 2020</t>
  </si>
  <si>
    <t>2021 год</t>
  </si>
  <si>
    <t>19-20 год</t>
  </si>
  <si>
    <t>Pirelli Pzero PZ4 RSC</t>
  </si>
  <si>
    <t>Continentali Eco Contact 6</t>
  </si>
  <si>
    <t>Pirelli Cinturato P7 p7c2</t>
  </si>
  <si>
    <t>20-21 год</t>
  </si>
  <si>
    <t>Hankook KINERGY eco</t>
  </si>
  <si>
    <t>4 новые</t>
  </si>
  <si>
    <t>Continental CrossUHP</t>
  </si>
  <si>
    <t>P</t>
  </si>
  <si>
    <t>Continentali Premium Contact 6</t>
  </si>
  <si>
    <t xml:space="preserve"> слабый</t>
  </si>
  <si>
    <t>4d RSC</t>
  </si>
  <si>
    <t>Pirelli P Zero TM4</t>
  </si>
  <si>
    <t>Dunlop Sp Sport 2000e</t>
  </si>
  <si>
    <t>Pirelli P Zero Pz4</t>
  </si>
  <si>
    <t>Pirelli p zero Pz4</t>
  </si>
  <si>
    <t>Pirelli P Zero Direzionale (новые)</t>
  </si>
  <si>
    <t>Bridgestone Turanze T005</t>
  </si>
  <si>
    <t>Continental Premium Contact6</t>
  </si>
  <si>
    <t>4 RSC</t>
  </si>
  <si>
    <t>Yokohama Bluearth Es 32</t>
  </si>
  <si>
    <t>Continentali Sport Contact5</t>
  </si>
  <si>
    <t>Pirelli P Zero TM PZ4</t>
  </si>
  <si>
    <t xml:space="preserve">Pirelli Pzero </t>
  </si>
  <si>
    <t xml:space="preserve">Good year efficient Grip </t>
  </si>
  <si>
    <t>2 премиум</t>
  </si>
  <si>
    <t>Год</t>
  </si>
  <si>
    <t>сезонность</t>
  </si>
  <si>
    <t>остаток протектора</t>
  </si>
  <si>
    <t>Страна производства</t>
  </si>
  <si>
    <t>Ling Long (Новые)</t>
  </si>
  <si>
    <t>Hankook Ventus S1 evo2</t>
  </si>
  <si>
    <t>d 2020</t>
  </si>
  <si>
    <t>d 4 2019</t>
  </si>
  <si>
    <t>d 4 2017</t>
  </si>
  <si>
    <t>d 2021</t>
  </si>
  <si>
    <t>d 2016</t>
  </si>
  <si>
    <t>Bridgeston Potenza S001</t>
  </si>
  <si>
    <t>d 4 2020</t>
  </si>
  <si>
    <t>d разные</t>
  </si>
  <si>
    <t>Michelin Primasy Suv</t>
  </si>
  <si>
    <t>Pirelli Pzero PZ4</t>
  </si>
  <si>
    <t>265/55</t>
  </si>
  <si>
    <t>Dunlop Grandtrek AT30</t>
  </si>
  <si>
    <t>Dunlop EC202</t>
  </si>
  <si>
    <t>Yokohama advan sport v105</t>
  </si>
  <si>
    <t xml:space="preserve">Bridgestone Turanza T005 </t>
  </si>
  <si>
    <t xml:space="preserve"> Bridgestone Dueler H/P Sport</t>
  </si>
  <si>
    <t>2 новых</t>
  </si>
  <si>
    <t>6 новых</t>
  </si>
  <si>
    <t>Continental MaxContact MC6</t>
  </si>
  <si>
    <t>Michelin Primasy MXM4 ZP</t>
  </si>
  <si>
    <t>Michelin CrossClimat</t>
  </si>
  <si>
    <t>Michelin Primacy4</t>
  </si>
  <si>
    <t>Good Year F1 ass5</t>
  </si>
  <si>
    <t>Dunlop Sport maxx TT</t>
  </si>
  <si>
    <t xml:space="preserve">Michlen Primacy Suv </t>
  </si>
  <si>
    <t>Michelen Pilot sport 4</t>
  </si>
  <si>
    <t xml:space="preserve">Continental ContiSportContact </t>
  </si>
  <si>
    <t>Continental Sport Continental 5</t>
  </si>
  <si>
    <t>1 не R</t>
  </si>
  <si>
    <t xml:space="preserve">d  </t>
  </si>
  <si>
    <t>2 7мм</t>
  </si>
  <si>
    <t>2021 SSR</t>
  </si>
  <si>
    <t>8мм</t>
  </si>
  <si>
    <t>Pirelli Cinturato p7 p7c2</t>
  </si>
  <si>
    <t>Bridgestone Turanza T005 rsc</t>
  </si>
  <si>
    <t>Ykohama Advan Sport v105</t>
  </si>
  <si>
    <t>p</t>
  </si>
  <si>
    <t>P 4rsc</t>
  </si>
  <si>
    <t>Pirelli p zero TM pz4</t>
  </si>
  <si>
    <t>Yokohama Bluearth es 32</t>
  </si>
  <si>
    <t>Good Year Eagle Sport RSC</t>
  </si>
  <si>
    <t>Dunlop Sp SpotMaxx GT</t>
  </si>
  <si>
    <t>Yokohama Bluearth ES32</t>
  </si>
  <si>
    <t>Good Year Eagle F1 ass2 RSC</t>
  </si>
  <si>
    <t xml:space="preserve">Michlen Pilot Super Sport </t>
  </si>
  <si>
    <t>Dunlop Grantrek AT23</t>
  </si>
  <si>
    <t>Pirell Scorpion Verde All Season</t>
  </si>
  <si>
    <t>Pirelli Cinturato P6</t>
  </si>
  <si>
    <t>Dunlop Enasave EC202</t>
  </si>
  <si>
    <t xml:space="preserve">Michelin Latitude Sport3 </t>
  </si>
  <si>
    <t>Continental Extreem Contact</t>
  </si>
  <si>
    <t>Dunlop Sp Sport Lm 705</t>
  </si>
  <si>
    <t>Bridgestone Dueeler H/T 34</t>
  </si>
  <si>
    <t>Good Year Eagle F1 ass3</t>
  </si>
  <si>
    <t>Good Year Eagle F1 ASS3</t>
  </si>
  <si>
    <t>Good Year Eagle F1 ASS3 RSC</t>
  </si>
  <si>
    <t>Michelin Pilot Sport EvE</t>
  </si>
  <si>
    <t>Michlen Pilot Sport3</t>
  </si>
  <si>
    <t xml:space="preserve">Continental EcoContact 6 </t>
  </si>
  <si>
    <t>Michelin  Primasy HP</t>
  </si>
  <si>
    <t>Bridgestone Potenza T005</t>
  </si>
  <si>
    <t>Pirelli Cinturato p7c2</t>
  </si>
  <si>
    <t>Michelin Primasy 3 RSC</t>
  </si>
  <si>
    <t xml:space="preserve">2 rsc d </t>
  </si>
  <si>
    <t>d 2 слабый</t>
  </si>
  <si>
    <t>Michelin Cross Climat</t>
  </si>
  <si>
    <t>Hankook Ventus S1 Evo 2</t>
  </si>
  <si>
    <t>Good Year Excellence RSC</t>
  </si>
  <si>
    <t>2слабых</t>
  </si>
  <si>
    <t>Linglong Green-Max 4x4 HP</t>
  </si>
  <si>
    <t>8 ММ</t>
  </si>
  <si>
    <t>Pirelli p zero TM Pz4</t>
  </si>
  <si>
    <t>Pirelli Cinturato P7 P7c2</t>
  </si>
  <si>
    <t>Hankook Ventus S1evo3</t>
  </si>
  <si>
    <t xml:space="preserve">2слабые </t>
  </si>
  <si>
    <t>Toyo Proxes Sport</t>
  </si>
  <si>
    <t>Michlen Primasu 3st</t>
  </si>
  <si>
    <t>rsc2021</t>
  </si>
  <si>
    <t>4Rsc</t>
  </si>
  <si>
    <t>Goodyear Eficent Grip Performans RSC</t>
  </si>
  <si>
    <t>Bridgstone Ecopia ep500</t>
  </si>
  <si>
    <t>Continental ContiPremiumContact2</t>
  </si>
  <si>
    <t>Michelin Primacy3</t>
  </si>
  <si>
    <t>Bridgstone Turanza T005</t>
  </si>
  <si>
    <t>Michelin Primace HP rsc</t>
  </si>
  <si>
    <t>Pirelli Scorpion Verde All Seasons</t>
  </si>
  <si>
    <t>Bridgestone Turanza Er33</t>
  </si>
  <si>
    <t>Dunlop SpSport Maxx 050+</t>
  </si>
  <si>
    <t>Dunlop Enasave ec300</t>
  </si>
  <si>
    <t>Continental ContiSrotContact 5</t>
  </si>
  <si>
    <t>6 не RSC</t>
  </si>
  <si>
    <t>2без 0%</t>
  </si>
  <si>
    <t>12d</t>
  </si>
  <si>
    <t>новый 2016</t>
  </si>
  <si>
    <t>19.20.21</t>
  </si>
  <si>
    <t>2019 5%</t>
  </si>
  <si>
    <t>2019.18 5.10%</t>
  </si>
  <si>
    <t>Bridgestone Nextry Ecopia</t>
  </si>
  <si>
    <t>P 2021</t>
  </si>
  <si>
    <t>5.5mm</t>
  </si>
  <si>
    <t xml:space="preserve">Good Year Efficent Grip </t>
  </si>
  <si>
    <t>2021/20</t>
  </si>
  <si>
    <t>19/18</t>
  </si>
  <si>
    <t>17.17.18.21</t>
  </si>
  <si>
    <t>GoodYear Efficient Grip</t>
  </si>
  <si>
    <t>Hankook Ventus Prime 3</t>
  </si>
  <si>
    <t>Good Year Efficient Grip</t>
  </si>
  <si>
    <t>d17</t>
  </si>
  <si>
    <t>19.21</t>
  </si>
  <si>
    <t>20.21</t>
  </si>
  <si>
    <t>19.20</t>
  </si>
  <si>
    <t>20/21</t>
  </si>
  <si>
    <t>Bridgstone Turanza T005 rsc</t>
  </si>
  <si>
    <t>d2019</t>
  </si>
  <si>
    <t>Good Year Eagle F1Asymmet2</t>
  </si>
  <si>
    <t xml:space="preserve"> 4 новые</t>
  </si>
  <si>
    <t>rsc 2.7mm</t>
  </si>
  <si>
    <t>слабыйе</t>
  </si>
  <si>
    <t>20/19</t>
  </si>
  <si>
    <t>10 RSC</t>
  </si>
  <si>
    <t>d 2</t>
  </si>
  <si>
    <t>Bestall Victory AU918</t>
  </si>
  <si>
    <t>Tracmax X-Privilo TX3</t>
  </si>
  <si>
    <t>Antares Majoris R1</t>
  </si>
  <si>
    <t>рем 21</t>
  </si>
  <si>
    <t>d 18</t>
  </si>
  <si>
    <t>Continental PremiumContact 2</t>
  </si>
  <si>
    <t>d19</t>
  </si>
  <si>
    <t>d 14</t>
  </si>
  <si>
    <t>d 17</t>
  </si>
  <si>
    <t>d16</t>
  </si>
  <si>
    <t>d21</t>
  </si>
  <si>
    <t>RSC17</t>
  </si>
  <si>
    <t>Pirelli scorpion verda</t>
  </si>
  <si>
    <t>d18</t>
  </si>
  <si>
    <t>Hankook VentusS1evo3</t>
  </si>
  <si>
    <t>слава рига</t>
  </si>
  <si>
    <t>рига</t>
  </si>
  <si>
    <t>слабая 2слава</t>
  </si>
  <si>
    <t xml:space="preserve">Pirelli Pzero Pz4 </t>
  </si>
  <si>
    <t>2 слава</t>
  </si>
  <si>
    <t>2019 год 2 слава</t>
  </si>
  <si>
    <t>Dunlop Sp Sport Max RT</t>
  </si>
  <si>
    <t>7+</t>
  </si>
  <si>
    <t>4. 5+</t>
  </si>
  <si>
    <t>Continental CrossContact</t>
  </si>
  <si>
    <t>GoodYear F1 ass2</t>
  </si>
  <si>
    <t>243/35</t>
  </si>
  <si>
    <t>d20</t>
  </si>
  <si>
    <t>Pirelli Cinturato P7 c2</t>
  </si>
  <si>
    <t>7mm</t>
  </si>
  <si>
    <t>d 20/21</t>
  </si>
  <si>
    <t>Bridgestoun Regno GR-X2</t>
  </si>
  <si>
    <t>8mm 2019</t>
  </si>
  <si>
    <t>Lexxis Orezon HTX</t>
  </si>
  <si>
    <t>Новые</t>
  </si>
  <si>
    <t>d 2022</t>
  </si>
  <si>
    <t>d rsc</t>
  </si>
  <si>
    <t>Lexxis Orezon LX 4x4</t>
  </si>
  <si>
    <t xml:space="preserve">Continentali SportContact 5 rsc </t>
  </si>
  <si>
    <t>Bridgestone Regno GR-X</t>
  </si>
  <si>
    <t>d2022</t>
  </si>
  <si>
    <t>Michelin Primacy A/S</t>
  </si>
  <si>
    <t>21/22/20</t>
  </si>
  <si>
    <t>175/70</t>
  </si>
  <si>
    <t>Goodyear Effecint Grip Performance rsc</t>
  </si>
  <si>
    <t>Good Year Efficient Grip eco2</t>
  </si>
  <si>
    <t>Continental EcoContact 3</t>
  </si>
  <si>
    <t>Dunlop Enasave EC204</t>
  </si>
  <si>
    <t xml:space="preserve">Bridgestone Alenza 001 </t>
  </si>
  <si>
    <t>Michlen Pilot sport4</t>
  </si>
  <si>
    <t>Dunlop Grantrek AT30</t>
  </si>
  <si>
    <t xml:space="preserve"> Yokohama Geolandar G98</t>
  </si>
  <si>
    <t>Pirelli Scorpion Verde All Season</t>
  </si>
  <si>
    <t>Yokohama Geolander Go55</t>
  </si>
  <si>
    <t>Pirelli Cinturato P7 All Season</t>
  </si>
  <si>
    <t>d4 2019</t>
  </si>
  <si>
    <t>Yokohama BluEarth RV-02</t>
  </si>
  <si>
    <t>Michlen Energy XM2</t>
  </si>
  <si>
    <t>Bridgestoun Ecopia NH100</t>
  </si>
  <si>
    <t>d2021</t>
  </si>
  <si>
    <t>Ykohama BluEarth E70</t>
  </si>
  <si>
    <t>Goodyear Efficient Grip Comfort</t>
  </si>
  <si>
    <t>Michlen Premier LTX</t>
  </si>
  <si>
    <t>Yokohama Advan Db V552</t>
  </si>
  <si>
    <t>Continental Control Contact srs</t>
  </si>
  <si>
    <t>Pirelli Powergy TM</t>
  </si>
  <si>
    <t>Michelin Cross Climat2</t>
  </si>
  <si>
    <t>Michelin Energy XM2</t>
  </si>
  <si>
    <t>195/60</t>
  </si>
  <si>
    <t>Toyo Tranpath Mpz</t>
  </si>
  <si>
    <t>Continental TechContact Tc6</t>
  </si>
  <si>
    <t>RSC 2</t>
  </si>
  <si>
    <t>RSC 18</t>
  </si>
  <si>
    <t>Bridgestone Turanza T005 RSC</t>
  </si>
  <si>
    <t>Bridgestone Nextry</t>
  </si>
  <si>
    <t>Dunlop Enasave 203</t>
  </si>
  <si>
    <t>Dunlop Enasave 204</t>
  </si>
  <si>
    <t>Bridgestone Luft RV2</t>
  </si>
  <si>
    <t>Goodyear Eagle F1 Asymmetric 5</t>
  </si>
  <si>
    <t>Continental Extrem Contact</t>
  </si>
  <si>
    <t>Continental MC6</t>
  </si>
  <si>
    <t>Dunlop sp sport Max A1</t>
  </si>
  <si>
    <t>Dunlop Veuro 304</t>
  </si>
  <si>
    <t>Pirеlli  Scorpion Verde</t>
  </si>
  <si>
    <t>Dunlop Direnza DZ 101</t>
  </si>
  <si>
    <t>Michlen Cross Climate2</t>
  </si>
  <si>
    <t xml:space="preserve">Michelin Pilot Sport 4 </t>
  </si>
  <si>
    <t>Toyo Open Country</t>
  </si>
  <si>
    <t>Michelin Pilot Sport5</t>
  </si>
  <si>
    <t>Coodyear eagle F1 Asimenric 5</t>
  </si>
  <si>
    <t>Michelin Pilot  Sport 4 s</t>
  </si>
  <si>
    <t>Michelin Pilot Sport 5</t>
  </si>
  <si>
    <t>2 мягкие</t>
  </si>
  <si>
    <t>Yokohama dB decibel E70N</t>
  </si>
  <si>
    <t>18/21</t>
  </si>
  <si>
    <t>d 2019/18</t>
  </si>
  <si>
    <t>Frztrac Sport RC600</t>
  </si>
  <si>
    <t>Новый</t>
  </si>
  <si>
    <t>Michelin Primacy 3 St</t>
  </si>
  <si>
    <t>Continental Conti Sport Contact 3</t>
  </si>
  <si>
    <t>Pirelli P zero PZ4TM</t>
  </si>
  <si>
    <t>6 rsc 19-20г</t>
  </si>
  <si>
    <t>Good Year Eagle F1 Asymmetric 3/5</t>
  </si>
  <si>
    <t>Rsc</t>
  </si>
  <si>
    <t>8 Rsc</t>
  </si>
  <si>
    <t>8P</t>
  </si>
  <si>
    <t>Goodyear EfficientGrip 2</t>
  </si>
  <si>
    <t>20/22</t>
  </si>
  <si>
    <t>d rsc 8</t>
  </si>
  <si>
    <t>Good Year Efficent</t>
  </si>
  <si>
    <t>Good Year Eagle F1 Assimetrig 3</t>
  </si>
  <si>
    <t>Continental Sport Contac 5</t>
  </si>
  <si>
    <t>Continentali Contact Sport 5</t>
  </si>
  <si>
    <t>Coodyear Eagle F1 Asimenric 3</t>
  </si>
  <si>
    <t>6 7мм</t>
  </si>
  <si>
    <t>Bridgstone Potenza RE050</t>
  </si>
  <si>
    <t>Good Year Eagle F1 Assimetric 3</t>
  </si>
  <si>
    <t>GoodYear Eagle F1 Asymmetr 5</t>
  </si>
  <si>
    <t>GoodYear Eagle F1 Asymmetr 3</t>
  </si>
  <si>
    <t>Bridgestone Potenza S005</t>
  </si>
  <si>
    <t>Goodyear Eagle F1 Asimenric 2</t>
  </si>
  <si>
    <t>Goodyear Eagle F1 Asimenric 3</t>
  </si>
  <si>
    <t>Michelen Pilot Sport 4</t>
  </si>
  <si>
    <t xml:space="preserve">24/23 г </t>
  </si>
  <si>
    <t>Frztrac RC600</t>
  </si>
  <si>
    <t>Ilink L-Zeal56</t>
  </si>
  <si>
    <t>Ilink L-ZEAL56</t>
  </si>
  <si>
    <t>Ilink Thunder U09</t>
  </si>
  <si>
    <t>Zeta Alventi</t>
  </si>
  <si>
    <t>Ilink Powercity 77</t>
  </si>
  <si>
    <t>Winrun R330</t>
  </si>
  <si>
    <t>Zeta Impero</t>
  </si>
  <si>
    <t xml:space="preserve">Dunlop Sp Sport Maxx RT2 </t>
  </si>
  <si>
    <t>Pirelli Pzero Pz4</t>
  </si>
  <si>
    <t>Pirelli Scorpion zero</t>
  </si>
  <si>
    <t>Good Uear Efficient 4x4</t>
  </si>
  <si>
    <t>Continental Sport7</t>
  </si>
  <si>
    <t>Continental ContiEco 5</t>
  </si>
  <si>
    <t xml:space="preserve">Bridgestone Dueeler </t>
  </si>
  <si>
    <t xml:space="preserve">2рига </t>
  </si>
  <si>
    <t>Dunlop Grantrek AT20</t>
  </si>
  <si>
    <t xml:space="preserve">Hankook Ventus S1 evo3 </t>
  </si>
  <si>
    <t>Good Year Eagle F1 Asemetric 3</t>
  </si>
  <si>
    <t>Dunlop италия</t>
  </si>
  <si>
    <t>2P</t>
  </si>
  <si>
    <t>Continental Eco Contact6</t>
  </si>
  <si>
    <t>Pirelli Cinturato P7 P7C2</t>
  </si>
  <si>
    <t>Continental Cross LX2</t>
  </si>
  <si>
    <t>Bridgestone Dueeller 687</t>
  </si>
  <si>
    <t>245/55</t>
  </si>
  <si>
    <t>2018-20</t>
  </si>
  <si>
    <t>Michelin Cross Climate</t>
  </si>
  <si>
    <t>Bridgestone Potenza RE002</t>
  </si>
  <si>
    <t>2RSC d</t>
  </si>
  <si>
    <t>Uniroyal Rain Sport3</t>
  </si>
  <si>
    <t>Michlen Latitude Sport3</t>
  </si>
  <si>
    <t>Dunlop  Grantrek RT30</t>
  </si>
  <si>
    <t>Barum Bravirus 5HM</t>
  </si>
  <si>
    <t>Nokian Zline</t>
  </si>
  <si>
    <t>Michelin Latitude Sport 3</t>
  </si>
  <si>
    <t>Goodyear Eagle F1 ass3</t>
  </si>
  <si>
    <t>Nexen Nfera Su1</t>
  </si>
  <si>
    <t>2ит 8rsc</t>
  </si>
  <si>
    <t>4P</t>
  </si>
  <si>
    <t>Pirelli Powergy</t>
  </si>
  <si>
    <t>Coodyear eagle F1 AO</t>
  </si>
  <si>
    <t>Cood Year Efficient 4x4</t>
  </si>
  <si>
    <t>Firestone RoadHawk</t>
  </si>
  <si>
    <t>Good YeaR Eagle F1 ass5</t>
  </si>
  <si>
    <t>Continental ECO Contact6Q</t>
  </si>
  <si>
    <t>Falken FK452</t>
  </si>
  <si>
    <t>Hankook Ventus S1evo2</t>
  </si>
  <si>
    <t>Continental SportContact 6</t>
  </si>
  <si>
    <t>Pirelli PZ4</t>
  </si>
  <si>
    <t>Michelin Pilot Sport4S</t>
  </si>
  <si>
    <t>Hankook Ventus Prime3</t>
  </si>
  <si>
    <t>Yokohama Advan Sport V107</t>
  </si>
  <si>
    <t>Continental SportContact6</t>
  </si>
  <si>
    <t>Michelin Primasy HP</t>
  </si>
  <si>
    <t>2p</t>
  </si>
  <si>
    <t>Dunlop Sp Sport RT</t>
  </si>
  <si>
    <t>Continental Eco Contact5</t>
  </si>
  <si>
    <t>8 4+</t>
  </si>
  <si>
    <t xml:space="preserve">265/35 </t>
  </si>
  <si>
    <t>2 4+RSC</t>
  </si>
  <si>
    <t>BF Goodrich g-force Sport</t>
  </si>
  <si>
    <t>d 6 слабый</t>
  </si>
  <si>
    <t>Kleber Dynarex</t>
  </si>
  <si>
    <t>2слабые</t>
  </si>
  <si>
    <t>6слабый</t>
  </si>
  <si>
    <t>2 4+</t>
  </si>
  <si>
    <t>4+mm</t>
  </si>
  <si>
    <t>4+ 4 шт</t>
  </si>
  <si>
    <t>4мм</t>
  </si>
  <si>
    <t>Michelin Pilot Sport  4S</t>
  </si>
  <si>
    <t>Goodyear Eagle Efficient Perfomance2</t>
  </si>
  <si>
    <t>Michelin Pilot Sport 4s</t>
  </si>
  <si>
    <t>Good Year Efficient Grip Perfomance</t>
  </si>
  <si>
    <t>Uniroyal Rain Max</t>
  </si>
  <si>
    <t>2rscP</t>
  </si>
  <si>
    <t>Continental EcoContact6</t>
  </si>
  <si>
    <t>Nexen Nfera RU1</t>
  </si>
  <si>
    <t>Nitto Extrem ZR</t>
  </si>
  <si>
    <t>Dunlop Sport Maxx RT2</t>
  </si>
  <si>
    <t>Hankook Kinergy Eco2</t>
  </si>
  <si>
    <t>14/15 4P</t>
  </si>
  <si>
    <t>Continentali SportContact</t>
  </si>
  <si>
    <t>новый</t>
  </si>
  <si>
    <t>Frztrac RC600 Новые</t>
  </si>
  <si>
    <t>P  2020</t>
  </si>
  <si>
    <t>Continental PremiumContact 6</t>
  </si>
  <si>
    <t>21/22</t>
  </si>
  <si>
    <t>P 2 Новые</t>
  </si>
  <si>
    <t>305/35</t>
  </si>
  <si>
    <t>Pirelli p zero 4zp</t>
  </si>
  <si>
    <t xml:space="preserve">Pirelli Zero </t>
  </si>
  <si>
    <t xml:space="preserve">Michlen Latitude Sport </t>
  </si>
  <si>
    <t xml:space="preserve">Goodyear Efficient Grip </t>
  </si>
  <si>
    <t>p 2018</t>
  </si>
  <si>
    <t>Avon zv7</t>
  </si>
  <si>
    <t>Continentac Eco Contact 5</t>
  </si>
  <si>
    <t>Continentac Premium Contact 6</t>
  </si>
  <si>
    <t>Yokohama Bluearth GT AE51</t>
  </si>
  <si>
    <t>2020 5%</t>
  </si>
  <si>
    <t>P 22.18</t>
  </si>
  <si>
    <t>Michlen Pilot Sport 5</t>
  </si>
  <si>
    <t>2021.22</t>
  </si>
  <si>
    <t>Hankook Ventus S1evo 3</t>
  </si>
  <si>
    <t>Continentali eco Contact 6</t>
  </si>
  <si>
    <t xml:space="preserve"> SSR</t>
  </si>
  <si>
    <t>d  2P</t>
  </si>
  <si>
    <t>I</t>
  </si>
  <si>
    <t>Continental ContiSportContact 3</t>
  </si>
  <si>
    <t>2 I d</t>
  </si>
  <si>
    <t>Contenental Sport Contact 6</t>
  </si>
  <si>
    <t>Coodyear Efficient Grip 4x4</t>
  </si>
  <si>
    <t>P 2022</t>
  </si>
  <si>
    <t>Pirelli P zero PZ4</t>
  </si>
  <si>
    <t>Good Year Efficient  RSC</t>
  </si>
  <si>
    <t>Michelin Pilot Sport Ev</t>
  </si>
  <si>
    <t>Michelin Latitude sport 3</t>
  </si>
  <si>
    <t>Continental Conti Premium 6</t>
  </si>
  <si>
    <t>Bridgstone Turanza er 300</t>
  </si>
  <si>
    <t>rsc 4P</t>
  </si>
  <si>
    <t>4rsc</t>
  </si>
  <si>
    <t>P RSC</t>
  </si>
  <si>
    <t>Good YeaR Eagle F1 ASS3</t>
  </si>
  <si>
    <t xml:space="preserve">Hifly HF 805 </t>
  </si>
  <si>
    <t>4P 2021</t>
  </si>
  <si>
    <t xml:space="preserve">P </t>
  </si>
  <si>
    <t>4P 2019</t>
  </si>
  <si>
    <t>2021 P</t>
  </si>
  <si>
    <t>6P</t>
  </si>
  <si>
    <t>Good Year Efficinet Performance</t>
  </si>
  <si>
    <t>12P</t>
  </si>
  <si>
    <t>GoodYear Efficient Grip Performange</t>
  </si>
  <si>
    <t>Bridgstonun Turanza T005</t>
  </si>
  <si>
    <t>P2021</t>
  </si>
  <si>
    <t>2 Италия</t>
  </si>
  <si>
    <t>Honkook Ventus Prime2</t>
  </si>
  <si>
    <t>P2020</t>
  </si>
  <si>
    <t>Michlen Primacy3</t>
  </si>
  <si>
    <t>P 2021/18</t>
  </si>
  <si>
    <t>Kumho Ecsta Hs51</t>
  </si>
  <si>
    <t>Honkook Ventus Prime3</t>
  </si>
  <si>
    <t>P2019</t>
  </si>
  <si>
    <t>2D 2P 2022</t>
  </si>
  <si>
    <t>P 2019</t>
  </si>
  <si>
    <t>18/20/21</t>
  </si>
  <si>
    <t xml:space="preserve">Pirelli Cinturato P7 </t>
  </si>
  <si>
    <t>d8rsc</t>
  </si>
  <si>
    <t>Dunlop Grandtrekv AT30</t>
  </si>
  <si>
    <t>D2021</t>
  </si>
  <si>
    <t>d RSC20</t>
  </si>
  <si>
    <t>Continental ContiSportContact5</t>
  </si>
  <si>
    <t>Michlen Latitude Sport</t>
  </si>
  <si>
    <t>D 2019</t>
  </si>
  <si>
    <t>Goodyear Eagle F1 Asymmetric 2</t>
  </si>
  <si>
    <t>Falken Azenis FK 510</t>
  </si>
  <si>
    <t>Dunlop Maxx 050+</t>
  </si>
  <si>
    <t>Michelin Primacy 3 st</t>
  </si>
  <si>
    <t>Toyo Tranpath ml</t>
  </si>
  <si>
    <t>4 i</t>
  </si>
  <si>
    <t>P20/21</t>
  </si>
  <si>
    <t>2 I</t>
  </si>
  <si>
    <t>P 20/19</t>
  </si>
  <si>
    <t>P 2021/23</t>
  </si>
  <si>
    <t>P2021/20</t>
  </si>
  <si>
    <t>P2020/21</t>
  </si>
  <si>
    <t>Nitto All Terrain</t>
  </si>
  <si>
    <t>Michelin Pilot Sport 3</t>
  </si>
  <si>
    <t>Dunlop Sp Sport Maxx 060+</t>
  </si>
  <si>
    <t>Yokohama AE 61</t>
  </si>
  <si>
    <t>Pirelli Dragon</t>
  </si>
  <si>
    <t>4 Слабые</t>
  </si>
  <si>
    <t xml:space="preserve">p </t>
  </si>
  <si>
    <t>I 2017</t>
  </si>
  <si>
    <t xml:space="preserve">Triangle TH202 </t>
  </si>
  <si>
    <t>P 2021.22</t>
  </si>
  <si>
    <t>Bridgestone Regno GR X</t>
  </si>
  <si>
    <t>Ykohama Ecos ES31</t>
  </si>
  <si>
    <t>Goodyear Efficient Grip Eco</t>
  </si>
  <si>
    <t>Bridgestone Turanza Serenity</t>
  </si>
  <si>
    <t>Bridgestoune duler HL</t>
  </si>
  <si>
    <t>Dunlop Direza Dz02</t>
  </si>
  <si>
    <t>Toyo proxes CF2</t>
  </si>
  <si>
    <t>165/70</t>
  </si>
  <si>
    <t>Dunlop Ec204</t>
  </si>
  <si>
    <t>Dunlop Granrek PT AT25</t>
  </si>
  <si>
    <t>Yokohama Bluearth es32</t>
  </si>
  <si>
    <t>Dunlop Grandtrek AT 25</t>
  </si>
  <si>
    <t>Yokohama Geolander G015</t>
  </si>
  <si>
    <t>225/70</t>
  </si>
  <si>
    <t>Nexen Roadian HTX</t>
  </si>
  <si>
    <t>d 19/20</t>
  </si>
  <si>
    <t xml:space="preserve">Pirelli P7 EVO </t>
  </si>
  <si>
    <t>21.23</t>
  </si>
  <si>
    <t>21.22</t>
  </si>
  <si>
    <t>4 dRSC</t>
  </si>
  <si>
    <t>Triangle TH202</t>
  </si>
  <si>
    <t>Hankook KINERGY eco 2</t>
  </si>
  <si>
    <t>Piralli Cinturato P7PZ2</t>
  </si>
  <si>
    <t xml:space="preserve">4d </t>
  </si>
  <si>
    <t>Michlen Pilot Sport4</t>
  </si>
  <si>
    <t>2rsc D</t>
  </si>
  <si>
    <t>Michelin Pilot Sport4 RSC</t>
  </si>
  <si>
    <t>Toyo Proxes CF2</t>
  </si>
  <si>
    <t>Dunlop Sp10</t>
  </si>
  <si>
    <t>Toyo Nanoenergy 3</t>
  </si>
  <si>
    <t xml:space="preserve">Bridgestone Ecopia NH100 </t>
  </si>
  <si>
    <t>Dunlop SP Sport maxx 060+</t>
  </si>
  <si>
    <t>Ykohama A580</t>
  </si>
  <si>
    <t>Kumho Ecowing es31</t>
  </si>
  <si>
    <t>Dunlop EC350+</t>
  </si>
  <si>
    <t>Bridgestone Ecopia EP150</t>
  </si>
  <si>
    <t xml:space="preserve">Continental Cross </t>
  </si>
  <si>
    <t>8 i</t>
  </si>
  <si>
    <t>4P2020</t>
  </si>
  <si>
    <t>2 7mm</t>
  </si>
  <si>
    <t>хорошая</t>
  </si>
  <si>
    <t>4 новых</t>
  </si>
  <si>
    <t>Goodyear Eagle F1 5</t>
  </si>
  <si>
    <t>GoodYear</t>
  </si>
  <si>
    <t>2018 новые</t>
  </si>
  <si>
    <t xml:space="preserve">Pirelli pzero </t>
  </si>
  <si>
    <t>Pirelli Scorpion Verde ALL</t>
  </si>
  <si>
    <t>d2021/22.23</t>
  </si>
  <si>
    <t xml:space="preserve">Continental Eco Contact 6 </t>
  </si>
  <si>
    <t>Pirelli Pzero Nero</t>
  </si>
  <si>
    <t>Triangle TR259</t>
  </si>
  <si>
    <t>Примечание</t>
  </si>
  <si>
    <t>Примечание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</si>
</sst>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theme="0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0"/>
      <color theme="0"/>
      <name val="Times New Roman"/>
      <family val="1"/>
      <charset val="204"/>
    </font>
    <font>
      <b/>
      <sz val="10"/>
      <color theme="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0"/>
      <color rgb="FFFF000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7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shrinkToFi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shrinkToFi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8" xfId="0" applyFont="1" applyBorder="1"/>
    <xf numFmtId="0" fontId="1" fillId="7" borderId="1" xfId="0" applyFont="1" applyFill="1" applyBorder="1" applyAlignment="1">
      <alignment horizontal="center" vertical="center" shrinkToFit="1"/>
    </xf>
    <xf numFmtId="0" fontId="1" fillId="7" borderId="1" xfId="0" applyFont="1" applyFill="1" applyBorder="1" applyAlignment="1">
      <alignment shrinkToFit="1"/>
    </xf>
    <xf numFmtId="0" fontId="1" fillId="7" borderId="1" xfId="0" applyFont="1" applyFill="1" applyBorder="1" applyAlignment="1">
      <alignment horizontal="center" shrinkToFit="1"/>
    </xf>
    <xf numFmtId="0" fontId="3" fillId="2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2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/>
    <xf numFmtId="0" fontId="1" fillId="5" borderId="1" xfId="0" applyFont="1" applyFill="1" applyBorder="1"/>
    <xf numFmtId="0" fontId="5" fillId="5" borderId="1" xfId="0" applyFont="1" applyFill="1" applyBorder="1" applyAlignment="1">
      <alignment vertical="center"/>
    </xf>
    <xf numFmtId="0" fontId="3" fillId="0" borderId="7" xfId="0" applyFont="1" applyBorder="1" applyAlignment="1">
      <alignment horizontal="right"/>
    </xf>
    <xf numFmtId="0" fontId="1" fillId="0" borderId="0" xfId="0" applyFont="1" applyAlignment="1">
      <alignment vertical="center"/>
    </xf>
    <xf numFmtId="0" fontId="1" fillId="3" borderId="3" xfId="0" applyFont="1" applyFill="1" applyBorder="1" applyAlignment="1">
      <alignment horizontal="center"/>
    </xf>
    <xf numFmtId="0" fontId="1" fillId="3" borderId="0" xfId="0" applyFont="1" applyFill="1"/>
    <xf numFmtId="0" fontId="1" fillId="5" borderId="3" xfId="0" applyFont="1" applyFill="1" applyBorder="1"/>
    <xf numFmtId="0" fontId="1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right"/>
    </xf>
    <xf numFmtId="0" fontId="3" fillId="5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shrinkToFit="1"/>
    </xf>
    <xf numFmtId="0" fontId="1" fillId="5" borderId="1" xfId="0" applyFont="1" applyFill="1" applyBorder="1" applyAlignment="1">
      <alignment horizontal="left" indent="7"/>
    </xf>
    <xf numFmtId="0" fontId="3" fillId="8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5" borderId="10" xfId="0" applyFont="1" applyFill="1" applyBorder="1"/>
    <xf numFmtId="0" fontId="1" fillId="0" borderId="10" xfId="0" applyFont="1" applyBorder="1"/>
    <xf numFmtId="0" fontId="12" fillId="0" borderId="0" xfId="0" applyFont="1"/>
    <xf numFmtId="0" fontId="1" fillId="9" borderId="1" xfId="0" applyFont="1" applyFill="1" applyBorder="1" applyAlignment="1">
      <alignment horizontal="center" vertical="center" shrinkToFit="1"/>
    </xf>
    <xf numFmtId="0" fontId="1" fillId="9" borderId="1" xfId="0" applyFont="1" applyFill="1" applyBorder="1" applyAlignment="1">
      <alignment horizontal="center" shrinkToFit="1"/>
    </xf>
    <xf numFmtId="0" fontId="1" fillId="0" borderId="4" xfId="0" applyFont="1" applyBorder="1" applyAlignment="1">
      <alignment horizontal="center" shrinkToFit="1"/>
    </xf>
    <xf numFmtId="0" fontId="13" fillId="3" borderId="0" xfId="0" applyFont="1" applyFill="1"/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/>
    <xf numFmtId="0" fontId="9" fillId="4" borderId="1" xfId="0" applyFont="1" applyFill="1" applyBorder="1" applyAlignment="1">
      <alignment horizontal="center" vertical="center" shrinkToFit="1"/>
    </xf>
    <xf numFmtId="0" fontId="14" fillId="4" borderId="1" xfId="0" applyFont="1" applyFill="1" applyBorder="1" applyAlignment="1">
      <alignment horizontal="center" vertical="center"/>
    </xf>
    <xf numFmtId="0" fontId="14" fillId="4" borderId="1" xfId="0" applyFont="1" applyFill="1" applyBorder="1"/>
    <xf numFmtId="0" fontId="14" fillId="4" borderId="1" xfId="0" applyFont="1" applyFill="1" applyBorder="1" applyAlignment="1">
      <alignment horizontal="center" vertical="center" shrinkToFi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shrinkToFit="1"/>
    </xf>
    <xf numFmtId="0" fontId="1" fillId="4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11" fillId="0" borderId="0" xfId="0" applyFont="1"/>
    <xf numFmtId="0" fontId="10" fillId="5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2" borderId="6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shrinkToFit="1"/>
    </xf>
    <xf numFmtId="0" fontId="10" fillId="6" borderId="1" xfId="0" applyFont="1" applyFill="1" applyBorder="1" applyAlignment="1">
      <alignment horizontal="center" shrinkToFi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" fillId="5" borderId="1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2" fillId="4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shrinkToFit="1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/>
    </xf>
    <xf numFmtId="0" fontId="1" fillId="4" borderId="12" xfId="0" applyFont="1" applyFill="1" applyBorder="1"/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/>
    <xf numFmtId="0" fontId="1" fillId="4" borderId="3" xfId="0" applyFont="1" applyFill="1" applyBorder="1" applyAlignment="1">
      <alignment horizontal="center"/>
    </xf>
    <xf numFmtId="0" fontId="1" fillId="4" borderId="3" xfId="0" applyFont="1" applyFill="1" applyBorder="1"/>
    <xf numFmtId="0" fontId="16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11" fillId="4" borderId="1" xfId="0" applyFont="1" applyFill="1" applyBorder="1"/>
    <xf numFmtId="0" fontId="1" fillId="4" borderId="5" xfId="0" applyFont="1" applyFill="1" applyBorder="1" applyAlignment="1">
      <alignment horizontal="center"/>
    </xf>
    <xf numFmtId="0" fontId="0" fillId="0" borderId="0" xfId="0" quotePrefix="1"/>
    <xf numFmtId="0" fontId="1" fillId="9" borderId="3" xfId="0" applyFont="1" applyFill="1" applyBorder="1" applyAlignment="1">
      <alignment horizontal="center" vertical="center"/>
    </xf>
    <xf numFmtId="0" fontId="1" fillId="9" borderId="1" xfId="0" applyFont="1" applyFill="1" applyBorder="1"/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 shrinkToFit="1"/>
    </xf>
    <xf numFmtId="0" fontId="16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0" fontId="0" fillId="0" borderId="1" xfId="0" applyBorder="1" applyAlignment="1">
      <alignment horizontal="center" vertical="top"/>
    </xf>
    <xf numFmtId="0" fontId="16" fillId="4" borderId="3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7" fillId="0" borderId="1" xfId="0" applyFont="1" applyBorder="1"/>
    <xf numFmtId="0" fontId="17" fillId="0" borderId="0" xfId="0" applyFont="1"/>
    <xf numFmtId="0" fontId="17" fillId="0" borderId="1" xfId="0" applyFont="1" applyBorder="1" applyAlignment="1">
      <alignment horizontal="center"/>
    </xf>
    <xf numFmtId="0" fontId="17" fillId="2" borderId="1" xfId="0" applyFont="1" applyFill="1" applyBorder="1"/>
    <xf numFmtId="0" fontId="17" fillId="2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7" fillId="4" borderId="1" xfId="0" applyFont="1" applyFill="1" applyBorder="1"/>
    <xf numFmtId="0" fontId="6" fillId="5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0" fillId="8" borderId="10" xfId="0" applyFill="1" applyBorder="1"/>
    <xf numFmtId="0" fontId="1" fillId="2" borderId="10" xfId="0" applyFont="1" applyFill="1" applyBorder="1"/>
    <xf numFmtId="0" fontId="1" fillId="4" borderId="10" xfId="0" applyFont="1" applyFill="1" applyBorder="1" applyAlignment="1">
      <alignment horizontal="center" vertical="center" shrinkToFit="1"/>
    </xf>
    <xf numFmtId="0" fontId="15" fillId="8" borderId="6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8" borderId="1" xfId="0" applyFill="1" applyBorder="1"/>
    <xf numFmtId="0" fontId="17" fillId="11" borderId="0" xfId="0" applyFont="1" applyFill="1"/>
    <xf numFmtId="0" fontId="0" fillId="0" borderId="10" xfId="0" applyBorder="1"/>
    <xf numFmtId="0" fontId="3" fillId="4" borderId="6" xfId="0" applyFont="1" applyFill="1" applyBorder="1" applyAlignment="1">
      <alignment horizontal="center" vertical="center"/>
    </xf>
    <xf numFmtId="18" fontId="1" fillId="0" borderId="1" xfId="0" applyNumberFormat="1" applyFont="1" applyBorder="1"/>
    <xf numFmtId="0" fontId="5" fillId="6" borderId="2" xfId="0" applyFont="1" applyFill="1" applyBorder="1" applyAlignment="1">
      <alignment horizontal="center" shrinkToFit="1"/>
    </xf>
    <xf numFmtId="0" fontId="0" fillId="0" borderId="1" xfId="0" applyBorder="1" applyAlignment="1">
      <alignment horizontal="left" vertical="center"/>
    </xf>
    <xf numFmtId="3" fontId="0" fillId="0" borderId="0" xfId="0" applyNumberFormat="1"/>
    <xf numFmtId="0" fontId="0" fillId="0" borderId="0" xfId="0" applyAlignment="1">
      <alignment horizontal="center"/>
    </xf>
    <xf numFmtId="18" fontId="1" fillId="0" borderId="3" xfId="0" applyNumberFormat="1" applyFont="1" applyBorder="1"/>
    <xf numFmtId="0" fontId="1" fillId="2" borderId="1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shrinkToFit="1"/>
    </xf>
    <xf numFmtId="10" fontId="0" fillId="0" borderId="1" xfId="0" applyNumberFormat="1" applyBorder="1"/>
    <xf numFmtId="0" fontId="1" fillId="10" borderId="1" xfId="0" applyFont="1" applyFill="1" applyBorder="1" applyAlignment="1">
      <alignment horizontal="center" shrinkToFit="1"/>
    </xf>
    <xf numFmtId="0" fontId="1" fillId="5" borderId="1" xfId="0" applyFont="1" applyFill="1" applyBorder="1" applyAlignment="1">
      <alignment horizontal="center" vertical="center" shrinkToFit="1"/>
    </xf>
    <xf numFmtId="0" fontId="17" fillId="0" borderId="0" xfId="0" applyFont="1" applyAlignment="1">
      <alignment horizontal="center"/>
    </xf>
    <xf numFmtId="0" fontId="9" fillId="4" borderId="1" xfId="0" applyFont="1" applyFill="1" applyBorder="1" applyAlignment="1">
      <alignment horizontal="center" shrinkToFit="1"/>
    </xf>
    <xf numFmtId="0" fontId="13" fillId="3" borderId="0" xfId="0" applyFont="1" applyFill="1" applyAlignment="1">
      <alignment horizontal="center"/>
    </xf>
    <xf numFmtId="17" fontId="0" fillId="0" borderId="0" xfId="0" applyNumberFormat="1" applyAlignment="1">
      <alignment horizontal="center"/>
    </xf>
    <xf numFmtId="17" fontId="0" fillId="0" borderId="0" xfId="0" applyNumberFormat="1"/>
    <xf numFmtId="18" fontId="5" fillId="0" borderId="1" xfId="0" applyNumberFormat="1" applyFont="1" applyBorder="1" applyAlignment="1">
      <alignment horizontal="center"/>
    </xf>
    <xf numFmtId="9" fontId="0" fillId="0" borderId="1" xfId="0" applyNumberFormat="1" applyBorder="1"/>
    <xf numFmtId="0" fontId="0" fillId="0" borderId="1" xfId="0" applyBorder="1" applyAlignment="1">
      <alignment horizontal="left"/>
    </xf>
    <xf numFmtId="10" fontId="0" fillId="0" borderId="1" xfId="0" applyNumberFormat="1" applyBorder="1" applyAlignment="1">
      <alignment horizontal="left"/>
    </xf>
    <xf numFmtId="9" fontId="0" fillId="0" borderId="1" xfId="0" applyNumberFormat="1" applyBorder="1" applyAlignment="1">
      <alignment horizontal="left" vertical="center"/>
    </xf>
    <xf numFmtId="0" fontId="1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9" fontId="0" fillId="3" borderId="1" xfId="0" applyNumberFormat="1" applyFill="1" applyBorder="1" applyAlignment="1">
      <alignment horizontal="left"/>
    </xf>
    <xf numFmtId="0" fontId="1" fillId="10" borderId="4" xfId="0" applyFont="1" applyFill="1" applyBorder="1" applyAlignment="1">
      <alignment horizontal="center" shrinkToFit="1"/>
    </xf>
    <xf numFmtId="0" fontId="1" fillId="3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" fillId="0" borderId="1" xfId="0" applyFont="1" applyFill="1" applyBorder="1" applyAlignment="1">
      <alignment horizontal="center" shrinkToFi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opLeftCell="A40" zoomScale="142" zoomScaleNormal="142" workbookViewId="0">
      <selection activeCell="G55" sqref="G55"/>
    </sheetView>
  </sheetViews>
  <sheetFormatPr defaultRowHeight="15" x14ac:dyDescent="0.25"/>
  <cols>
    <col min="1" max="1" width="5.140625" customWidth="1"/>
    <col min="2" max="2" width="10.42578125" customWidth="1"/>
    <col min="3" max="3" width="33.140625" customWidth="1"/>
    <col min="4" max="4" width="7.140625" customWidth="1"/>
    <col min="5" max="5" width="6.28515625" customWidth="1"/>
    <col min="6" max="6" width="7.42578125" customWidth="1"/>
    <col min="7" max="7" width="16.28515625" customWidth="1"/>
  </cols>
  <sheetData>
    <row r="1" spans="1:7" x14ac:dyDescent="0.25">
      <c r="A1" s="27" t="s">
        <v>0</v>
      </c>
      <c r="B1" s="27" t="s">
        <v>1</v>
      </c>
      <c r="C1" s="28" t="s">
        <v>2</v>
      </c>
      <c r="D1" s="29" t="s">
        <v>3</v>
      </c>
      <c r="E1" s="29" t="s">
        <v>4</v>
      </c>
      <c r="F1" s="29" t="s">
        <v>5</v>
      </c>
      <c r="G1" s="29" t="s">
        <v>6</v>
      </c>
    </row>
    <row r="2" spans="1:7" x14ac:dyDescent="0.25">
      <c r="A2" s="32">
        <v>14</v>
      </c>
      <c r="B2" s="32" t="s">
        <v>1058</v>
      </c>
      <c r="C2" s="143" t="s">
        <v>1059</v>
      </c>
      <c r="D2" s="34">
        <v>4</v>
      </c>
      <c r="E2" s="34">
        <v>4</v>
      </c>
      <c r="F2" s="34">
        <f t="shared" ref="F2:F17" si="0">D2-E2</f>
        <v>0</v>
      </c>
      <c r="G2" s="33" t="s">
        <v>159</v>
      </c>
    </row>
    <row r="3" spans="1:7" x14ac:dyDescent="0.25">
      <c r="A3" s="32">
        <v>14</v>
      </c>
      <c r="B3" s="32" t="s">
        <v>1058</v>
      </c>
      <c r="C3" s="143" t="s">
        <v>1080</v>
      </c>
      <c r="D3" s="34">
        <v>4</v>
      </c>
      <c r="E3" s="34">
        <v>4</v>
      </c>
      <c r="F3" s="34">
        <f t="shared" si="0"/>
        <v>0</v>
      </c>
      <c r="G3" s="33" t="s">
        <v>159</v>
      </c>
    </row>
    <row r="4" spans="1:7" x14ac:dyDescent="0.25">
      <c r="A4" s="32">
        <v>14</v>
      </c>
      <c r="B4" s="32" t="s">
        <v>516</v>
      </c>
      <c r="C4" s="143" t="s">
        <v>1080</v>
      </c>
      <c r="D4" s="34">
        <v>10</v>
      </c>
      <c r="E4" s="34">
        <v>10</v>
      </c>
      <c r="F4" s="34">
        <f t="shared" si="0"/>
        <v>0</v>
      </c>
      <c r="G4" s="33" t="s">
        <v>159</v>
      </c>
    </row>
    <row r="5" spans="1:7" x14ac:dyDescent="0.25">
      <c r="A5" s="32">
        <v>14</v>
      </c>
      <c r="B5" s="32" t="s">
        <v>516</v>
      </c>
      <c r="C5" s="143" t="s">
        <v>454</v>
      </c>
      <c r="D5" s="34">
        <v>12</v>
      </c>
      <c r="E5" s="34">
        <v>12</v>
      </c>
      <c r="F5" s="34">
        <f t="shared" si="0"/>
        <v>0</v>
      </c>
      <c r="G5" s="33" t="s">
        <v>159</v>
      </c>
    </row>
    <row r="6" spans="1:7" x14ac:dyDescent="0.25">
      <c r="A6" s="32">
        <v>14</v>
      </c>
      <c r="B6" s="32" t="s">
        <v>516</v>
      </c>
      <c r="C6" s="143" t="s">
        <v>261</v>
      </c>
      <c r="D6" s="34">
        <v>4</v>
      </c>
      <c r="E6" s="34">
        <v>4</v>
      </c>
      <c r="F6" s="34">
        <f t="shared" si="0"/>
        <v>0</v>
      </c>
      <c r="G6" s="33" t="s">
        <v>159</v>
      </c>
    </row>
    <row r="7" spans="1:7" x14ac:dyDescent="0.25">
      <c r="A7" s="32">
        <v>14</v>
      </c>
      <c r="B7" s="32" t="s">
        <v>516</v>
      </c>
      <c r="C7" s="143" t="s">
        <v>799</v>
      </c>
      <c r="D7" s="34">
        <v>4</v>
      </c>
      <c r="E7" s="34">
        <v>4</v>
      </c>
      <c r="F7" s="34">
        <f t="shared" si="0"/>
        <v>0</v>
      </c>
      <c r="G7" s="33"/>
    </row>
    <row r="8" spans="1:7" x14ac:dyDescent="0.25">
      <c r="A8" s="32">
        <v>14</v>
      </c>
      <c r="B8" s="32" t="s">
        <v>516</v>
      </c>
      <c r="C8" s="143" t="s">
        <v>1052</v>
      </c>
      <c r="D8" s="34">
        <v>4</v>
      </c>
      <c r="E8" s="34">
        <v>4</v>
      </c>
      <c r="F8" s="34">
        <f t="shared" si="0"/>
        <v>0</v>
      </c>
      <c r="G8" s="33" t="s">
        <v>159</v>
      </c>
    </row>
    <row r="9" spans="1:7" x14ac:dyDescent="0.25">
      <c r="A9" s="32">
        <v>14</v>
      </c>
      <c r="B9" s="32" t="s">
        <v>516</v>
      </c>
      <c r="C9" s="143" t="s">
        <v>1079</v>
      </c>
      <c r="D9" s="34">
        <v>8</v>
      </c>
      <c r="E9" s="34">
        <v>8</v>
      </c>
      <c r="F9" s="34">
        <f t="shared" si="0"/>
        <v>0</v>
      </c>
      <c r="G9" s="33" t="s">
        <v>159</v>
      </c>
    </row>
    <row r="10" spans="1:7" x14ac:dyDescent="0.25">
      <c r="A10" s="32">
        <v>14</v>
      </c>
      <c r="B10" s="32" t="s">
        <v>795</v>
      </c>
      <c r="C10" s="143" t="s">
        <v>797</v>
      </c>
      <c r="D10" s="34">
        <v>4</v>
      </c>
      <c r="E10" s="34">
        <v>4</v>
      </c>
      <c r="F10" s="34">
        <f t="shared" si="0"/>
        <v>0</v>
      </c>
      <c r="G10" s="33"/>
    </row>
    <row r="11" spans="1:7" x14ac:dyDescent="0.25">
      <c r="A11" s="32">
        <v>14</v>
      </c>
      <c r="B11" s="32" t="s">
        <v>795</v>
      </c>
      <c r="C11" s="143" t="s">
        <v>454</v>
      </c>
      <c r="D11" s="34">
        <v>6</v>
      </c>
      <c r="E11" s="34">
        <v>6</v>
      </c>
      <c r="F11" s="34">
        <f t="shared" si="0"/>
        <v>0</v>
      </c>
      <c r="G11" s="33"/>
    </row>
    <row r="12" spans="1:7" x14ac:dyDescent="0.25">
      <c r="A12" s="32">
        <v>14</v>
      </c>
      <c r="B12" s="32" t="s">
        <v>795</v>
      </c>
      <c r="C12" s="143" t="s">
        <v>1083</v>
      </c>
      <c r="D12" s="34">
        <v>10</v>
      </c>
      <c r="E12" s="34">
        <v>10</v>
      </c>
      <c r="F12" s="34">
        <f t="shared" si="0"/>
        <v>0</v>
      </c>
      <c r="G12" s="33" t="s">
        <v>159</v>
      </c>
    </row>
    <row r="13" spans="1:7" x14ac:dyDescent="0.25">
      <c r="A13" s="91"/>
      <c r="B13" s="91"/>
      <c r="C13" s="92"/>
      <c r="D13" s="93"/>
      <c r="E13" s="93"/>
      <c r="F13" s="93"/>
      <c r="G13" s="92"/>
    </row>
    <row r="14" spans="1:7" x14ac:dyDescent="0.25">
      <c r="A14" s="32">
        <v>15</v>
      </c>
      <c r="B14" s="32" t="s">
        <v>582</v>
      </c>
      <c r="C14" s="52" t="s">
        <v>583</v>
      </c>
      <c r="D14" s="34">
        <v>4</v>
      </c>
      <c r="E14" s="34">
        <v>4</v>
      </c>
      <c r="F14" s="34">
        <f t="shared" si="0"/>
        <v>0</v>
      </c>
      <c r="G14" s="171">
        <v>0.05</v>
      </c>
    </row>
    <row r="15" spans="1:7" x14ac:dyDescent="0.25">
      <c r="A15" s="32">
        <v>15</v>
      </c>
      <c r="B15" s="32" t="s">
        <v>516</v>
      </c>
      <c r="C15" s="52" t="s">
        <v>604</v>
      </c>
      <c r="D15" s="34">
        <v>4</v>
      </c>
      <c r="E15" s="34"/>
      <c r="F15" s="34">
        <f t="shared" si="0"/>
        <v>4</v>
      </c>
      <c r="G15" s="33" t="s">
        <v>1095</v>
      </c>
    </row>
    <row r="16" spans="1:7" x14ac:dyDescent="0.25">
      <c r="A16" s="32">
        <v>15</v>
      </c>
      <c r="B16" s="32" t="s">
        <v>516</v>
      </c>
      <c r="C16" s="52" t="s">
        <v>1072</v>
      </c>
      <c r="D16" s="34">
        <v>4</v>
      </c>
      <c r="E16" s="34"/>
      <c r="F16" s="34">
        <f t="shared" si="0"/>
        <v>4</v>
      </c>
      <c r="G16" s="170">
        <v>2020</v>
      </c>
    </row>
    <row r="17" spans="1:10" x14ac:dyDescent="0.25">
      <c r="A17" s="32">
        <v>15</v>
      </c>
      <c r="B17" s="32" t="s">
        <v>516</v>
      </c>
      <c r="C17" s="52" t="s">
        <v>233</v>
      </c>
      <c r="D17" s="34">
        <v>2</v>
      </c>
      <c r="E17" s="34"/>
      <c r="F17" s="34">
        <f t="shared" si="0"/>
        <v>2</v>
      </c>
      <c r="G17" s="33" t="s">
        <v>607</v>
      </c>
    </row>
    <row r="18" spans="1:10" x14ac:dyDescent="0.25">
      <c r="A18" s="5">
        <v>15</v>
      </c>
      <c r="B18" s="32" t="s">
        <v>75</v>
      </c>
      <c r="C18" s="52" t="s">
        <v>266</v>
      </c>
      <c r="D18" s="7">
        <v>14</v>
      </c>
      <c r="E18" s="7">
        <v>10</v>
      </c>
      <c r="F18" s="7">
        <f t="shared" ref="F18:F20" si="1">D18-E18</f>
        <v>4</v>
      </c>
      <c r="G18" s="1" t="s">
        <v>727</v>
      </c>
    </row>
    <row r="19" spans="1:10" x14ac:dyDescent="0.25">
      <c r="A19" s="5">
        <v>15</v>
      </c>
      <c r="B19" s="32" t="s">
        <v>75</v>
      </c>
      <c r="C19" s="52" t="s">
        <v>971</v>
      </c>
      <c r="D19" s="7">
        <v>2</v>
      </c>
      <c r="E19" s="7"/>
      <c r="F19" s="7">
        <f t="shared" si="1"/>
        <v>2</v>
      </c>
      <c r="G19" s="166">
        <v>2020</v>
      </c>
    </row>
    <row r="20" spans="1:10" x14ac:dyDescent="0.25">
      <c r="A20" s="5">
        <v>15</v>
      </c>
      <c r="B20" s="32" t="s">
        <v>7</v>
      </c>
      <c r="C20" s="52" t="s">
        <v>969</v>
      </c>
      <c r="D20" s="7">
        <v>4</v>
      </c>
      <c r="E20" s="7"/>
      <c r="F20" s="7">
        <f t="shared" si="1"/>
        <v>4</v>
      </c>
      <c r="G20" s="166">
        <v>2018</v>
      </c>
    </row>
    <row r="21" spans="1:10" x14ac:dyDescent="0.25">
      <c r="A21" s="5">
        <v>15</v>
      </c>
      <c r="B21" s="32" t="s">
        <v>7</v>
      </c>
      <c r="C21" s="52" t="s">
        <v>336</v>
      </c>
      <c r="D21" s="34">
        <v>26</v>
      </c>
      <c r="E21" s="34">
        <v>26</v>
      </c>
      <c r="F21" s="34">
        <f>D21-E21</f>
        <v>0</v>
      </c>
      <c r="G21" s="150" t="s">
        <v>1019</v>
      </c>
    </row>
    <row r="22" spans="1:10" x14ac:dyDescent="0.25">
      <c r="A22" s="91"/>
      <c r="B22" s="91" t="s">
        <v>109</v>
      </c>
      <c r="C22" s="92"/>
      <c r="D22" s="93"/>
      <c r="E22" s="93"/>
      <c r="F22" s="93"/>
      <c r="G22" s="92"/>
    </row>
    <row r="23" spans="1:10" x14ac:dyDescent="0.25">
      <c r="A23" s="32">
        <v>15</v>
      </c>
      <c r="B23" s="32" t="s">
        <v>109</v>
      </c>
      <c r="C23" s="52" t="s">
        <v>584</v>
      </c>
      <c r="D23" s="34">
        <v>14</v>
      </c>
      <c r="E23" s="34">
        <v>14</v>
      </c>
      <c r="F23" s="34">
        <f t="shared" ref="F23:F45" si="2">D23-E23</f>
        <v>0</v>
      </c>
      <c r="G23" s="1">
        <v>2021</v>
      </c>
    </row>
    <row r="24" spans="1:10" x14ac:dyDescent="0.25">
      <c r="A24" s="32">
        <v>15</v>
      </c>
      <c r="B24" s="32" t="s">
        <v>109</v>
      </c>
      <c r="C24" s="52" t="s">
        <v>969</v>
      </c>
      <c r="D24" s="34">
        <v>4</v>
      </c>
      <c r="E24" s="34">
        <v>4</v>
      </c>
      <c r="F24" s="34">
        <f t="shared" si="2"/>
        <v>0</v>
      </c>
      <c r="G24" s="1" t="s">
        <v>975</v>
      </c>
    </row>
    <row r="25" spans="1:10" x14ac:dyDescent="0.25">
      <c r="A25" s="32">
        <v>15</v>
      </c>
      <c r="B25" s="32" t="s">
        <v>109</v>
      </c>
      <c r="C25" s="52" t="s">
        <v>1053</v>
      </c>
      <c r="D25" s="34">
        <v>8</v>
      </c>
      <c r="E25" s="34">
        <v>8</v>
      </c>
      <c r="F25" s="34">
        <f t="shared" si="2"/>
        <v>0</v>
      </c>
      <c r="G25" s="167" t="s">
        <v>159</v>
      </c>
    </row>
    <row r="26" spans="1:10" x14ac:dyDescent="0.25">
      <c r="A26" s="32">
        <v>15</v>
      </c>
      <c r="B26" s="32" t="s">
        <v>109</v>
      </c>
      <c r="C26" s="52" t="s">
        <v>828</v>
      </c>
      <c r="D26" s="34">
        <v>10</v>
      </c>
      <c r="E26" s="34">
        <v>10</v>
      </c>
      <c r="F26" s="34">
        <f t="shared" si="2"/>
        <v>0</v>
      </c>
      <c r="G26" s="1" t="s">
        <v>159</v>
      </c>
      <c r="J26" s="60"/>
    </row>
    <row r="27" spans="1:10" x14ac:dyDescent="0.25">
      <c r="A27" s="32">
        <v>15</v>
      </c>
      <c r="B27" s="32" t="s">
        <v>109</v>
      </c>
      <c r="C27" s="52" t="s">
        <v>798</v>
      </c>
      <c r="D27" s="34">
        <v>12</v>
      </c>
      <c r="E27" s="34">
        <v>12</v>
      </c>
      <c r="F27" s="34">
        <f t="shared" si="2"/>
        <v>0</v>
      </c>
      <c r="G27" s="168" t="s">
        <v>607</v>
      </c>
      <c r="J27" s="60"/>
    </row>
    <row r="28" spans="1:10" x14ac:dyDescent="0.25">
      <c r="A28" s="91"/>
      <c r="B28" s="91" t="s">
        <v>110</v>
      </c>
      <c r="C28" s="92"/>
      <c r="D28" s="93"/>
      <c r="E28" s="93"/>
      <c r="F28" s="93"/>
      <c r="G28" s="92"/>
    </row>
    <row r="29" spans="1:10" x14ac:dyDescent="0.25">
      <c r="A29" s="32">
        <v>15</v>
      </c>
      <c r="B29" s="32" t="s">
        <v>110</v>
      </c>
      <c r="C29" s="52" t="s">
        <v>712</v>
      </c>
      <c r="D29" s="34">
        <v>8</v>
      </c>
      <c r="E29" s="34"/>
      <c r="F29" s="34">
        <f t="shared" si="2"/>
        <v>8</v>
      </c>
      <c r="G29" s="165">
        <v>0.1</v>
      </c>
    </row>
    <row r="30" spans="1:10" x14ac:dyDescent="0.25">
      <c r="A30" s="32">
        <v>15</v>
      </c>
      <c r="B30" s="32" t="s">
        <v>110</v>
      </c>
      <c r="C30" s="52" t="s">
        <v>336</v>
      </c>
      <c r="D30" s="34">
        <v>12</v>
      </c>
      <c r="E30" s="34">
        <v>12</v>
      </c>
      <c r="F30" s="34">
        <f t="shared" si="2"/>
        <v>0</v>
      </c>
      <c r="G30" s="1" t="s">
        <v>607</v>
      </c>
    </row>
    <row r="31" spans="1:10" x14ac:dyDescent="0.25">
      <c r="A31" s="32">
        <v>15</v>
      </c>
      <c r="B31" s="32" t="s">
        <v>110</v>
      </c>
      <c r="C31" s="52" t="s">
        <v>261</v>
      </c>
      <c r="D31" s="34">
        <v>6</v>
      </c>
      <c r="E31" s="34">
        <v>6</v>
      </c>
      <c r="F31" s="34">
        <f t="shared" si="2"/>
        <v>0</v>
      </c>
      <c r="G31" s="156" t="s">
        <v>726</v>
      </c>
    </row>
    <row r="32" spans="1:10" x14ac:dyDescent="0.25">
      <c r="A32" s="32">
        <v>15</v>
      </c>
      <c r="B32" s="32" t="s">
        <v>8</v>
      </c>
      <c r="C32" s="52" t="s">
        <v>629</v>
      </c>
      <c r="D32" s="34">
        <v>432</v>
      </c>
      <c r="E32" s="34">
        <v>432</v>
      </c>
      <c r="F32" s="34">
        <f t="shared" si="2"/>
        <v>0</v>
      </c>
      <c r="G32" s="75">
        <v>2023</v>
      </c>
    </row>
    <row r="33" spans="1:7" x14ac:dyDescent="0.25">
      <c r="A33" s="32">
        <v>15</v>
      </c>
      <c r="B33" s="32" t="s">
        <v>8</v>
      </c>
      <c r="C33" s="52" t="s">
        <v>336</v>
      </c>
      <c r="D33" s="34">
        <v>2</v>
      </c>
      <c r="E33" s="34">
        <v>2</v>
      </c>
      <c r="F33" s="34">
        <f t="shared" si="2"/>
        <v>0</v>
      </c>
      <c r="G33" s="75" t="s">
        <v>729</v>
      </c>
    </row>
    <row r="34" spans="1:7" x14ac:dyDescent="0.25">
      <c r="A34" s="91"/>
      <c r="B34" s="91" t="s">
        <v>107</v>
      </c>
      <c r="C34" s="92"/>
      <c r="D34" s="93"/>
      <c r="E34" s="93"/>
      <c r="F34" s="93"/>
      <c r="G34" s="92"/>
    </row>
    <row r="35" spans="1:7" x14ac:dyDescent="0.25">
      <c r="A35" s="32">
        <v>15</v>
      </c>
      <c r="B35" s="32" t="s">
        <v>107</v>
      </c>
      <c r="C35" s="52" t="s">
        <v>543</v>
      </c>
      <c r="D35" s="34">
        <v>22</v>
      </c>
      <c r="E35" s="34">
        <v>16</v>
      </c>
      <c r="F35" s="34">
        <f>D35-E35</f>
        <v>6</v>
      </c>
      <c r="G35" s="1" t="s">
        <v>507</v>
      </c>
    </row>
    <row r="36" spans="1:7" x14ac:dyDescent="0.25">
      <c r="A36" s="32">
        <v>15</v>
      </c>
      <c r="B36" s="32" t="s">
        <v>107</v>
      </c>
      <c r="C36" s="52" t="s">
        <v>643</v>
      </c>
      <c r="D36" s="34">
        <v>4</v>
      </c>
      <c r="E36" s="34"/>
      <c r="F36" s="34">
        <f>D36-E36</f>
        <v>4</v>
      </c>
      <c r="G36" s="1"/>
    </row>
    <row r="37" spans="1:7" x14ac:dyDescent="0.25">
      <c r="A37" s="32">
        <v>15</v>
      </c>
      <c r="B37" s="32" t="s">
        <v>107</v>
      </c>
      <c r="C37" s="52" t="s">
        <v>827</v>
      </c>
      <c r="D37" s="34">
        <v>4</v>
      </c>
      <c r="E37" s="34"/>
      <c r="F37" s="34">
        <f>D37-E37</f>
        <v>4</v>
      </c>
      <c r="G37" s="1"/>
    </row>
    <row r="38" spans="1:7" x14ac:dyDescent="0.25">
      <c r="A38" s="32">
        <v>15</v>
      </c>
      <c r="B38" s="32" t="s">
        <v>107</v>
      </c>
      <c r="C38" s="52" t="s">
        <v>829</v>
      </c>
      <c r="D38" s="34">
        <v>46</v>
      </c>
      <c r="E38" s="34">
        <v>42</v>
      </c>
      <c r="F38" s="34">
        <f t="shared" si="2"/>
        <v>4</v>
      </c>
      <c r="G38" s="1"/>
    </row>
    <row r="39" spans="1:7" x14ac:dyDescent="0.25">
      <c r="A39" s="32">
        <v>15</v>
      </c>
      <c r="B39" s="32" t="s">
        <v>107</v>
      </c>
      <c r="C39" s="52" t="s">
        <v>1086</v>
      </c>
      <c r="D39" s="34">
        <v>6</v>
      </c>
      <c r="E39" s="34"/>
      <c r="F39" s="34">
        <f t="shared" si="2"/>
        <v>6</v>
      </c>
      <c r="G39" s="1" t="s">
        <v>159</v>
      </c>
    </row>
    <row r="40" spans="1:7" x14ac:dyDescent="0.25">
      <c r="A40" s="32">
        <v>15</v>
      </c>
      <c r="B40" s="32" t="s">
        <v>107</v>
      </c>
      <c r="C40" s="52" t="s">
        <v>1081</v>
      </c>
      <c r="D40" s="34">
        <v>6</v>
      </c>
      <c r="E40" s="34">
        <v>4</v>
      </c>
      <c r="F40" s="34">
        <f t="shared" si="2"/>
        <v>2</v>
      </c>
      <c r="G40" s="1"/>
    </row>
    <row r="41" spans="1:7" ht="13.9" customHeight="1" x14ac:dyDescent="0.25">
      <c r="A41" s="32">
        <v>15</v>
      </c>
      <c r="B41" s="32" t="s">
        <v>108</v>
      </c>
      <c r="C41" s="52" t="s">
        <v>1054</v>
      </c>
      <c r="D41" s="34">
        <v>14</v>
      </c>
      <c r="E41" s="34">
        <v>10</v>
      </c>
      <c r="F41" s="34">
        <f t="shared" si="2"/>
        <v>4</v>
      </c>
      <c r="G41" s="1" t="s">
        <v>159</v>
      </c>
    </row>
    <row r="42" spans="1:7" ht="13.9" customHeight="1" x14ac:dyDescent="0.25">
      <c r="A42" s="32">
        <v>15</v>
      </c>
      <c r="B42" s="32" t="s">
        <v>107</v>
      </c>
      <c r="C42" s="52" t="s">
        <v>826</v>
      </c>
      <c r="D42" s="34">
        <v>4</v>
      </c>
      <c r="E42" s="34">
        <v>4</v>
      </c>
      <c r="F42" s="34">
        <f t="shared" si="2"/>
        <v>0</v>
      </c>
      <c r="G42" s="1" t="s">
        <v>159</v>
      </c>
    </row>
    <row r="43" spans="1:7" ht="13.9" customHeight="1" x14ac:dyDescent="0.25">
      <c r="A43" s="32">
        <v>15</v>
      </c>
      <c r="B43" s="32" t="s">
        <v>107</v>
      </c>
      <c r="C43" s="52" t="s">
        <v>574</v>
      </c>
      <c r="D43" s="34">
        <v>6</v>
      </c>
      <c r="E43" s="34">
        <v>2</v>
      </c>
      <c r="F43" s="34">
        <f t="shared" si="2"/>
        <v>4</v>
      </c>
      <c r="G43" s="166">
        <v>2022</v>
      </c>
    </row>
    <row r="44" spans="1:7" x14ac:dyDescent="0.25">
      <c r="A44" s="32">
        <v>15</v>
      </c>
      <c r="B44" s="32" t="s">
        <v>107</v>
      </c>
      <c r="C44" s="52" t="s">
        <v>1084</v>
      </c>
      <c r="D44" s="34">
        <v>6</v>
      </c>
      <c r="E44" s="34">
        <v>6</v>
      </c>
      <c r="F44" s="34">
        <f t="shared" si="2"/>
        <v>0</v>
      </c>
      <c r="G44" s="1" t="s">
        <v>159</v>
      </c>
    </row>
    <row r="45" spans="1:7" x14ac:dyDescent="0.25">
      <c r="A45" s="32">
        <v>15</v>
      </c>
      <c r="B45" s="32" t="s">
        <v>107</v>
      </c>
      <c r="C45" s="52" t="s">
        <v>1085</v>
      </c>
      <c r="D45" s="34">
        <v>6</v>
      </c>
      <c r="E45" s="34">
        <v>4</v>
      </c>
      <c r="F45" s="34">
        <f t="shared" si="2"/>
        <v>2</v>
      </c>
      <c r="G45" s="1"/>
    </row>
    <row r="46" spans="1:7" x14ac:dyDescent="0.25">
      <c r="A46" s="91"/>
      <c r="B46" s="91" t="s">
        <v>78</v>
      </c>
      <c r="C46" s="92"/>
      <c r="D46" s="93"/>
      <c r="E46" s="93"/>
      <c r="F46" s="93"/>
      <c r="G46" s="92"/>
    </row>
    <row r="47" spans="1:7" x14ac:dyDescent="0.25">
      <c r="A47" s="32">
        <v>15</v>
      </c>
      <c r="B47" s="32" t="s">
        <v>235</v>
      </c>
      <c r="C47" s="52" t="s">
        <v>810</v>
      </c>
      <c r="D47" s="34">
        <v>4</v>
      </c>
      <c r="E47" s="34"/>
      <c r="F47" s="34">
        <f t="shared" ref="F47:F50" si="3">D47-E47</f>
        <v>4</v>
      </c>
      <c r="G47" s="1" t="s">
        <v>634</v>
      </c>
    </row>
    <row r="48" spans="1:7" x14ac:dyDescent="0.25">
      <c r="A48" s="32">
        <v>15</v>
      </c>
      <c r="B48" s="32" t="s">
        <v>235</v>
      </c>
      <c r="C48" s="52" t="s">
        <v>829</v>
      </c>
      <c r="D48" s="34">
        <v>4</v>
      </c>
      <c r="E48" s="34"/>
      <c r="F48" s="34">
        <f t="shared" si="3"/>
        <v>4</v>
      </c>
      <c r="G48" s="1"/>
    </row>
    <row r="49" spans="1:7" x14ac:dyDescent="0.25">
      <c r="A49" s="32">
        <v>15</v>
      </c>
      <c r="B49" s="32" t="s">
        <v>235</v>
      </c>
      <c r="C49" s="52" t="s">
        <v>809</v>
      </c>
      <c r="D49" s="34">
        <v>8</v>
      </c>
      <c r="E49" s="34">
        <v>8</v>
      </c>
      <c r="F49" s="34">
        <f t="shared" si="3"/>
        <v>0</v>
      </c>
      <c r="G49" s="1" t="s">
        <v>631</v>
      </c>
    </row>
    <row r="50" spans="1:7" x14ac:dyDescent="0.25">
      <c r="A50" s="32">
        <v>15</v>
      </c>
      <c r="B50" s="32" t="s">
        <v>235</v>
      </c>
      <c r="C50" s="52" t="s">
        <v>950</v>
      </c>
      <c r="D50" s="34">
        <v>8</v>
      </c>
      <c r="E50" s="34">
        <v>4</v>
      </c>
      <c r="F50" s="34">
        <f t="shared" si="3"/>
        <v>4</v>
      </c>
      <c r="G50" s="1"/>
    </row>
    <row r="51" spans="1:7" x14ac:dyDescent="0.25">
      <c r="A51" s="91"/>
      <c r="B51" s="91"/>
      <c r="C51" s="92" t="s">
        <v>296</v>
      </c>
      <c r="D51" s="93"/>
      <c r="E51" s="93"/>
      <c r="F51" s="93"/>
      <c r="G51" s="92"/>
    </row>
    <row r="52" spans="1:7" x14ac:dyDescent="0.25">
      <c r="A52" s="32">
        <v>17</v>
      </c>
      <c r="B52" s="5" t="s">
        <v>294</v>
      </c>
      <c r="C52" s="144" t="s">
        <v>295</v>
      </c>
      <c r="D52" s="7">
        <v>1</v>
      </c>
      <c r="E52" s="7">
        <v>1</v>
      </c>
      <c r="F52" s="7">
        <f t="shared" ref="F52:F54" si="4">D52-E52</f>
        <v>0</v>
      </c>
      <c r="G52" s="5"/>
    </row>
    <row r="53" spans="1:7" x14ac:dyDescent="0.25">
      <c r="A53" s="32">
        <v>17</v>
      </c>
      <c r="B53" s="5" t="s">
        <v>291</v>
      </c>
      <c r="C53" s="144" t="s">
        <v>292</v>
      </c>
      <c r="D53" s="7">
        <v>1</v>
      </c>
      <c r="E53" s="7">
        <v>1</v>
      </c>
      <c r="F53" s="7">
        <f t="shared" si="4"/>
        <v>0</v>
      </c>
      <c r="G53" s="1"/>
    </row>
    <row r="54" spans="1:7" x14ac:dyDescent="0.25">
      <c r="A54" s="32">
        <v>17</v>
      </c>
      <c r="B54" s="5" t="s">
        <v>291</v>
      </c>
      <c r="C54" s="144" t="s">
        <v>293</v>
      </c>
      <c r="D54" s="7">
        <v>1</v>
      </c>
      <c r="E54" s="7"/>
      <c r="F54" s="7">
        <f t="shared" si="4"/>
        <v>1</v>
      </c>
      <c r="G54" s="1"/>
    </row>
    <row r="55" spans="1:7" ht="15.75" thickBot="1" x14ac:dyDescent="0.3">
      <c r="A55" s="6"/>
      <c r="D55" s="50">
        <f>SUM(D2:D50)</f>
        <v>786</v>
      </c>
      <c r="E55" s="55">
        <f>SUM(E2:E50)</f>
        <v>710</v>
      </c>
      <c r="F55" s="31">
        <f>SUM(F2:F54)</f>
        <v>77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4"/>
  <sheetViews>
    <sheetView topLeftCell="A10" zoomScale="145" zoomScaleNormal="145" zoomScaleSheetLayoutView="118" workbookViewId="0">
      <selection activeCell="H20" sqref="H20"/>
    </sheetView>
  </sheetViews>
  <sheetFormatPr defaultRowHeight="15" x14ac:dyDescent="0.25"/>
  <cols>
    <col min="1" max="1" width="4.85546875" style="4" customWidth="1"/>
    <col min="2" max="2" width="12" customWidth="1"/>
    <col min="3" max="3" width="34.42578125" customWidth="1"/>
    <col min="4" max="4" width="7.7109375" customWidth="1"/>
    <col min="5" max="5" width="8.28515625" customWidth="1"/>
    <col min="6" max="6" width="7.5703125" customWidth="1"/>
    <col min="7" max="7" width="10.8554687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63" t="s">
        <v>6</v>
      </c>
      <c r="H1" s="33"/>
      <c r="I1" s="33"/>
      <c r="J1" s="33"/>
    </row>
    <row r="2" spans="1:10" x14ac:dyDescent="0.25">
      <c r="A2" s="17">
        <v>16</v>
      </c>
      <c r="B2" s="2" t="s">
        <v>594</v>
      </c>
      <c r="C2" s="37" t="s">
        <v>595</v>
      </c>
      <c r="D2" s="3">
        <v>10</v>
      </c>
      <c r="E2" s="3">
        <v>2</v>
      </c>
      <c r="F2" s="3">
        <f t="shared" ref="F2:F80" si="0">D2-E2</f>
        <v>8</v>
      </c>
      <c r="G2" s="3" t="s">
        <v>733</v>
      </c>
      <c r="H2" s="33"/>
      <c r="I2" s="33"/>
      <c r="J2" s="33"/>
    </row>
    <row r="3" spans="1:10" x14ac:dyDescent="0.25">
      <c r="A3" s="17">
        <v>16</v>
      </c>
      <c r="B3" s="2" t="s">
        <v>75</v>
      </c>
      <c r="C3" s="37" t="s">
        <v>454</v>
      </c>
      <c r="D3" s="3">
        <v>4</v>
      </c>
      <c r="E3" s="3"/>
      <c r="F3" s="3">
        <f t="shared" si="0"/>
        <v>4</v>
      </c>
      <c r="G3" s="3" t="s">
        <v>738</v>
      </c>
      <c r="H3" s="33"/>
      <c r="I3" s="33"/>
      <c r="J3" s="33"/>
    </row>
    <row r="4" spans="1:10" x14ac:dyDescent="0.25">
      <c r="A4" s="17">
        <v>16</v>
      </c>
      <c r="B4" s="2" t="s">
        <v>338</v>
      </c>
      <c r="C4" s="37" t="s">
        <v>927</v>
      </c>
      <c r="D4" s="3">
        <v>8</v>
      </c>
      <c r="E4" s="3">
        <v>4</v>
      </c>
      <c r="F4" s="3">
        <f t="shared" si="0"/>
        <v>4</v>
      </c>
      <c r="G4" s="3" t="s">
        <v>1039</v>
      </c>
      <c r="H4" s="33"/>
      <c r="I4" s="33"/>
      <c r="J4" s="33"/>
    </row>
    <row r="5" spans="1:10" x14ac:dyDescent="0.25">
      <c r="A5" s="17">
        <v>16</v>
      </c>
      <c r="B5" s="2" t="s">
        <v>338</v>
      </c>
      <c r="C5" s="37" t="s">
        <v>949</v>
      </c>
      <c r="D5" s="3">
        <v>4</v>
      </c>
      <c r="E5" s="3"/>
      <c r="F5" s="3">
        <f t="shared" si="0"/>
        <v>4</v>
      </c>
      <c r="G5" s="3">
        <v>2021</v>
      </c>
      <c r="H5" s="33"/>
      <c r="I5" s="33"/>
      <c r="J5" s="33"/>
    </row>
    <row r="6" spans="1:10" x14ac:dyDescent="0.25">
      <c r="A6" s="17">
        <v>16</v>
      </c>
      <c r="B6" s="2" t="s">
        <v>338</v>
      </c>
      <c r="C6" s="37" t="s">
        <v>974</v>
      </c>
      <c r="D6" s="3">
        <v>2</v>
      </c>
      <c r="E6" s="3"/>
      <c r="F6" s="3">
        <f t="shared" si="0"/>
        <v>2</v>
      </c>
      <c r="G6" s="3">
        <v>2020</v>
      </c>
      <c r="H6" s="33"/>
      <c r="I6" s="33"/>
      <c r="J6" s="33"/>
    </row>
    <row r="7" spans="1:10" x14ac:dyDescent="0.25">
      <c r="A7" s="17">
        <v>16</v>
      </c>
      <c r="B7" s="2" t="s">
        <v>110</v>
      </c>
      <c r="C7" s="37" t="s">
        <v>247</v>
      </c>
      <c r="D7" s="3">
        <v>6</v>
      </c>
      <c r="E7" s="3">
        <v>4</v>
      </c>
      <c r="F7" s="3">
        <f t="shared" si="0"/>
        <v>2</v>
      </c>
      <c r="G7" s="3">
        <v>2018</v>
      </c>
      <c r="H7" s="33"/>
      <c r="I7" s="33"/>
      <c r="J7" s="33"/>
    </row>
    <row r="8" spans="1:10" x14ac:dyDescent="0.25">
      <c r="A8" s="17">
        <v>16</v>
      </c>
      <c r="B8" s="2" t="s">
        <v>110</v>
      </c>
      <c r="C8" s="37" t="s">
        <v>713</v>
      </c>
      <c r="D8" s="3">
        <v>2</v>
      </c>
      <c r="E8" s="3">
        <v>2</v>
      </c>
      <c r="F8" s="3">
        <f t="shared" si="0"/>
        <v>0</v>
      </c>
      <c r="G8" s="3" t="s">
        <v>739</v>
      </c>
      <c r="H8" s="33"/>
      <c r="I8" s="33"/>
      <c r="J8" s="33"/>
    </row>
    <row r="9" spans="1:10" x14ac:dyDescent="0.25">
      <c r="A9" s="17">
        <v>16</v>
      </c>
      <c r="B9" s="2" t="s">
        <v>110</v>
      </c>
      <c r="C9" s="37" t="s">
        <v>689</v>
      </c>
      <c r="D9" s="3">
        <v>6</v>
      </c>
      <c r="E9" s="3"/>
      <c r="F9" s="3">
        <f t="shared" si="0"/>
        <v>6</v>
      </c>
      <c r="G9" s="3" t="s">
        <v>740</v>
      </c>
      <c r="H9" s="33"/>
      <c r="I9" s="33"/>
      <c r="J9" s="33"/>
    </row>
    <row r="10" spans="1:10" x14ac:dyDescent="0.25">
      <c r="A10" s="17">
        <v>16</v>
      </c>
      <c r="B10" s="2" t="s">
        <v>110</v>
      </c>
      <c r="C10" s="37" t="s">
        <v>712</v>
      </c>
      <c r="D10" s="3">
        <v>8</v>
      </c>
      <c r="E10" s="3"/>
      <c r="F10" s="3">
        <f t="shared" si="0"/>
        <v>8</v>
      </c>
      <c r="G10" s="3" t="s">
        <v>740</v>
      </c>
      <c r="H10" s="33"/>
      <c r="I10" s="33"/>
      <c r="J10" s="33"/>
    </row>
    <row r="11" spans="1:10" x14ac:dyDescent="0.25">
      <c r="A11" s="71"/>
      <c r="B11" s="73" t="s">
        <v>8</v>
      </c>
      <c r="C11" s="72"/>
      <c r="D11" s="95"/>
      <c r="E11" s="95"/>
      <c r="F11" s="95"/>
      <c r="G11" s="160"/>
      <c r="H11" s="33"/>
      <c r="I11" s="33"/>
      <c r="J11" s="33"/>
    </row>
    <row r="12" spans="1:10" x14ac:dyDescent="0.25">
      <c r="A12" s="17">
        <v>16</v>
      </c>
      <c r="B12" s="18" t="s">
        <v>8</v>
      </c>
      <c r="C12" s="37" t="s">
        <v>731</v>
      </c>
      <c r="D12" s="17">
        <v>4</v>
      </c>
      <c r="E12" s="17">
        <v>2</v>
      </c>
      <c r="F12" s="17">
        <f t="shared" si="0"/>
        <v>2</v>
      </c>
      <c r="G12" s="19">
        <v>7</v>
      </c>
      <c r="H12" t="s">
        <v>305</v>
      </c>
    </row>
    <row r="13" spans="1:10" x14ac:dyDescent="0.25">
      <c r="A13" s="17">
        <v>16</v>
      </c>
      <c r="B13" s="18" t="s">
        <v>8</v>
      </c>
      <c r="C13" s="37" t="s">
        <v>861</v>
      </c>
      <c r="D13" s="17">
        <v>2</v>
      </c>
      <c r="E13" s="17"/>
      <c r="F13" s="17">
        <f t="shared" si="0"/>
        <v>2</v>
      </c>
      <c r="G13" s="19" t="s">
        <v>28</v>
      </c>
    </row>
    <row r="14" spans="1:10" x14ac:dyDescent="0.25">
      <c r="A14" s="17">
        <v>16</v>
      </c>
      <c r="B14" s="18" t="s">
        <v>8</v>
      </c>
      <c r="C14" s="37" t="s">
        <v>1005</v>
      </c>
      <c r="D14" s="17">
        <v>2</v>
      </c>
      <c r="E14" s="17"/>
      <c r="F14" s="17">
        <f t="shared" si="0"/>
        <v>2</v>
      </c>
      <c r="G14" s="19" t="s">
        <v>607</v>
      </c>
    </row>
    <row r="15" spans="1:10" x14ac:dyDescent="0.25">
      <c r="A15" s="17">
        <v>16</v>
      </c>
      <c r="B15" s="18" t="s">
        <v>8</v>
      </c>
      <c r="C15" s="37" t="s">
        <v>670</v>
      </c>
      <c r="D15" s="17">
        <v>12</v>
      </c>
      <c r="E15" s="17">
        <v>8</v>
      </c>
      <c r="F15" s="17">
        <f t="shared" si="0"/>
        <v>4</v>
      </c>
      <c r="G15" s="19" t="s">
        <v>732</v>
      </c>
    </row>
    <row r="16" spans="1:10" x14ac:dyDescent="0.25">
      <c r="A16" s="17">
        <v>16</v>
      </c>
      <c r="B16" s="18" t="s">
        <v>8</v>
      </c>
      <c r="C16" s="37" t="s">
        <v>86</v>
      </c>
      <c r="D16" s="17">
        <v>2</v>
      </c>
      <c r="E16" s="17"/>
      <c r="F16" s="17">
        <f t="shared" si="0"/>
        <v>2</v>
      </c>
      <c r="G16" s="19"/>
    </row>
    <row r="17" spans="1:9" x14ac:dyDescent="0.25">
      <c r="A17" s="17">
        <v>16</v>
      </c>
      <c r="B17" s="18" t="s">
        <v>8</v>
      </c>
      <c r="C17" s="37" t="s">
        <v>247</v>
      </c>
      <c r="D17" s="17">
        <v>18</v>
      </c>
      <c r="E17" s="17">
        <v>12</v>
      </c>
      <c r="F17" s="17">
        <f t="shared" si="0"/>
        <v>6</v>
      </c>
      <c r="G17" s="19" t="s">
        <v>514</v>
      </c>
      <c r="H17" t="s">
        <v>741</v>
      </c>
    </row>
    <row r="18" spans="1:9" x14ac:dyDescent="0.25">
      <c r="A18" s="17">
        <v>16</v>
      </c>
      <c r="B18" s="18" t="s">
        <v>8</v>
      </c>
      <c r="C18" s="37" t="s">
        <v>312</v>
      </c>
      <c r="D18" s="17">
        <v>64</v>
      </c>
      <c r="E18" s="17">
        <v>64</v>
      </c>
      <c r="F18" s="17">
        <f t="shared" si="0"/>
        <v>0</v>
      </c>
      <c r="G18" s="19" t="s">
        <v>648</v>
      </c>
      <c r="H18" s="152">
        <v>2015</v>
      </c>
      <c r="I18" t="s">
        <v>856</v>
      </c>
    </row>
    <row r="19" spans="1:9" x14ac:dyDescent="0.25">
      <c r="A19" s="17">
        <v>16</v>
      </c>
      <c r="B19" s="18" t="s">
        <v>8</v>
      </c>
      <c r="C19" s="37" t="s">
        <v>359</v>
      </c>
      <c r="D19" s="17">
        <v>8</v>
      </c>
      <c r="E19" s="17">
        <v>4</v>
      </c>
      <c r="F19" s="17">
        <f t="shared" si="0"/>
        <v>4</v>
      </c>
      <c r="G19" s="19" t="s">
        <v>794</v>
      </c>
    </row>
    <row r="20" spans="1:9" x14ac:dyDescent="0.25">
      <c r="A20" s="17">
        <v>16</v>
      </c>
      <c r="B20" s="18" t="s">
        <v>8</v>
      </c>
      <c r="C20" s="37" t="s">
        <v>266</v>
      </c>
      <c r="D20" s="17">
        <v>44</v>
      </c>
      <c r="E20" s="17">
        <v>26</v>
      </c>
      <c r="F20" s="17">
        <f t="shared" si="0"/>
        <v>18</v>
      </c>
      <c r="G20" s="19" t="s">
        <v>172</v>
      </c>
    </row>
    <row r="21" spans="1:9" x14ac:dyDescent="0.25">
      <c r="A21" s="17">
        <v>16</v>
      </c>
      <c r="B21" s="18" t="s">
        <v>8</v>
      </c>
      <c r="C21" s="37" t="s">
        <v>73</v>
      </c>
      <c r="D21" s="17">
        <v>28</v>
      </c>
      <c r="E21" s="17">
        <v>26</v>
      </c>
      <c r="F21" s="17">
        <f t="shared" si="0"/>
        <v>2</v>
      </c>
      <c r="G21" s="18">
        <v>2019</v>
      </c>
    </row>
    <row r="22" spans="1:9" x14ac:dyDescent="0.25">
      <c r="A22" s="17">
        <v>16</v>
      </c>
      <c r="B22" s="18" t="s">
        <v>8</v>
      </c>
      <c r="C22" s="37" t="s">
        <v>532</v>
      </c>
      <c r="D22" s="17">
        <v>16</v>
      </c>
      <c r="E22" s="17">
        <v>12</v>
      </c>
      <c r="F22" s="17">
        <f t="shared" si="0"/>
        <v>4</v>
      </c>
      <c r="G22" s="19" t="s">
        <v>742</v>
      </c>
    </row>
    <row r="23" spans="1:9" x14ac:dyDescent="0.25">
      <c r="A23" s="17">
        <v>16</v>
      </c>
      <c r="B23" s="18" t="s">
        <v>8</v>
      </c>
      <c r="C23" s="37" t="s">
        <v>307</v>
      </c>
      <c r="D23" s="17">
        <v>6</v>
      </c>
      <c r="E23" s="17">
        <v>4</v>
      </c>
      <c r="F23" s="17">
        <f t="shared" si="0"/>
        <v>2</v>
      </c>
      <c r="G23" s="19"/>
    </row>
    <row r="24" spans="1:9" x14ac:dyDescent="0.25">
      <c r="A24" s="17">
        <v>16</v>
      </c>
      <c r="B24" s="18" t="s">
        <v>8</v>
      </c>
      <c r="C24" s="37" t="s">
        <v>956</v>
      </c>
      <c r="D24" s="17">
        <v>4</v>
      </c>
      <c r="E24" s="17"/>
      <c r="F24" s="17">
        <f t="shared" si="0"/>
        <v>4</v>
      </c>
      <c r="G24" s="19" t="s">
        <v>607</v>
      </c>
    </row>
    <row r="25" spans="1:9" x14ac:dyDescent="0.25">
      <c r="A25" s="17">
        <v>16</v>
      </c>
      <c r="B25" s="18" t="s">
        <v>8</v>
      </c>
      <c r="C25" s="38" t="s">
        <v>74</v>
      </c>
      <c r="D25" s="17">
        <v>42</v>
      </c>
      <c r="E25" s="17">
        <v>34</v>
      </c>
      <c r="F25" s="17">
        <f t="shared" si="0"/>
        <v>8</v>
      </c>
      <c r="G25" s="19" t="s">
        <v>605</v>
      </c>
      <c r="H25" t="s">
        <v>734</v>
      </c>
    </row>
    <row r="26" spans="1:9" x14ac:dyDescent="0.25">
      <c r="A26" s="17">
        <v>16</v>
      </c>
      <c r="B26" s="18" t="s">
        <v>8</v>
      </c>
      <c r="C26" s="38" t="s">
        <v>736</v>
      </c>
      <c r="D26" s="17">
        <v>12</v>
      </c>
      <c r="E26" s="17">
        <v>4</v>
      </c>
      <c r="F26" s="17">
        <f t="shared" si="0"/>
        <v>8</v>
      </c>
      <c r="G26" s="19" t="s">
        <v>853</v>
      </c>
    </row>
    <row r="27" spans="1:9" x14ac:dyDescent="0.25">
      <c r="A27" s="17">
        <v>16</v>
      </c>
      <c r="B27" s="18" t="s">
        <v>8</v>
      </c>
      <c r="C27" s="38" t="s">
        <v>715</v>
      </c>
      <c r="D27" s="17">
        <v>6</v>
      </c>
      <c r="E27" s="17">
        <v>4</v>
      </c>
      <c r="F27" s="17">
        <f t="shared" si="0"/>
        <v>2</v>
      </c>
      <c r="G27" s="19"/>
    </row>
    <row r="28" spans="1:9" x14ac:dyDescent="0.25">
      <c r="A28" s="17">
        <v>16</v>
      </c>
      <c r="B28" s="18" t="s">
        <v>8</v>
      </c>
      <c r="C28" s="38" t="s">
        <v>419</v>
      </c>
      <c r="D28" s="17">
        <v>20</v>
      </c>
      <c r="E28" s="17">
        <v>16</v>
      </c>
      <c r="F28" s="17">
        <f t="shared" si="0"/>
        <v>4</v>
      </c>
      <c r="G28" s="18">
        <v>2019</v>
      </c>
    </row>
    <row r="29" spans="1:9" x14ac:dyDescent="0.25">
      <c r="A29" s="17">
        <v>16</v>
      </c>
      <c r="B29" s="18" t="s">
        <v>8</v>
      </c>
      <c r="C29" s="38" t="s">
        <v>696</v>
      </c>
      <c r="D29" s="17">
        <v>2</v>
      </c>
      <c r="E29" s="17"/>
      <c r="F29" s="17">
        <f t="shared" si="0"/>
        <v>2</v>
      </c>
      <c r="G29" s="19"/>
    </row>
    <row r="30" spans="1:9" x14ac:dyDescent="0.25">
      <c r="A30" s="17">
        <v>16</v>
      </c>
      <c r="B30" s="18" t="s">
        <v>820</v>
      </c>
      <c r="C30" s="38" t="s">
        <v>821</v>
      </c>
      <c r="D30" s="17">
        <v>4</v>
      </c>
      <c r="E30" s="17"/>
      <c r="F30" s="17">
        <f t="shared" si="0"/>
        <v>4</v>
      </c>
      <c r="G30" s="19"/>
    </row>
    <row r="31" spans="1:9" x14ac:dyDescent="0.25">
      <c r="A31" s="71"/>
      <c r="B31" s="90" t="s">
        <v>11</v>
      </c>
      <c r="C31" s="72"/>
      <c r="D31" s="71"/>
      <c r="E31" s="71"/>
      <c r="F31" s="71"/>
      <c r="G31" s="72"/>
    </row>
    <row r="32" spans="1:9" x14ac:dyDescent="0.25">
      <c r="A32" s="20">
        <v>16</v>
      </c>
      <c r="B32" s="21" t="s">
        <v>11</v>
      </c>
      <c r="C32" s="37" t="s">
        <v>402</v>
      </c>
      <c r="D32" s="20">
        <v>6</v>
      </c>
      <c r="E32" s="20">
        <v>6</v>
      </c>
      <c r="F32" s="20">
        <f t="shared" si="0"/>
        <v>0</v>
      </c>
      <c r="G32" s="22" t="s">
        <v>729</v>
      </c>
    </row>
    <row r="33" spans="1:7" x14ac:dyDescent="0.25">
      <c r="A33" s="20">
        <v>16</v>
      </c>
      <c r="B33" s="21" t="s">
        <v>11</v>
      </c>
      <c r="C33" s="37" t="s">
        <v>972</v>
      </c>
      <c r="D33" s="20">
        <v>16</v>
      </c>
      <c r="E33" s="20">
        <v>16</v>
      </c>
      <c r="F33" s="20">
        <f t="shared" si="0"/>
        <v>0</v>
      </c>
      <c r="G33" s="22" t="s">
        <v>957</v>
      </c>
    </row>
    <row r="34" spans="1:7" x14ac:dyDescent="0.25">
      <c r="A34" s="20">
        <v>16</v>
      </c>
      <c r="B34" s="21" t="s">
        <v>11</v>
      </c>
      <c r="C34" s="37" t="s">
        <v>973</v>
      </c>
      <c r="D34" s="20">
        <v>2</v>
      </c>
      <c r="E34" s="20">
        <v>2</v>
      </c>
      <c r="F34" s="20">
        <f t="shared" si="0"/>
        <v>0</v>
      </c>
      <c r="G34" s="169">
        <v>2020</v>
      </c>
    </row>
    <row r="35" spans="1:7" ht="15.75" thickBot="1" x14ac:dyDescent="0.3">
      <c r="A35" s="20">
        <v>16</v>
      </c>
      <c r="B35" s="21" t="s">
        <v>11</v>
      </c>
      <c r="C35" s="37" t="s">
        <v>612</v>
      </c>
      <c r="D35" s="20">
        <v>4</v>
      </c>
      <c r="E35" s="20">
        <v>4</v>
      </c>
      <c r="F35" s="20">
        <f t="shared" si="0"/>
        <v>0</v>
      </c>
      <c r="G35" s="22" t="s">
        <v>159</v>
      </c>
    </row>
    <row r="36" spans="1:7" ht="15.75" thickBot="1" x14ac:dyDescent="0.3">
      <c r="A36" s="96"/>
      <c r="B36" s="97" t="s">
        <v>157</v>
      </c>
      <c r="C36" s="98"/>
      <c r="D36" s="99"/>
      <c r="E36" s="99"/>
      <c r="F36" s="99"/>
      <c r="G36" s="100"/>
    </row>
    <row r="37" spans="1:7" x14ac:dyDescent="0.25">
      <c r="A37" s="56">
        <v>16</v>
      </c>
      <c r="B37" s="57" t="s">
        <v>12</v>
      </c>
      <c r="C37" s="58" t="s">
        <v>258</v>
      </c>
      <c r="D37" s="56">
        <v>14</v>
      </c>
      <c r="E37" s="56">
        <v>14</v>
      </c>
      <c r="F37" s="56">
        <f t="shared" si="0"/>
        <v>0</v>
      </c>
      <c r="G37" s="59" t="s">
        <v>159</v>
      </c>
    </row>
    <row r="38" spans="1:7" x14ac:dyDescent="0.25">
      <c r="A38" s="56">
        <v>16</v>
      </c>
      <c r="B38" s="57" t="s">
        <v>12</v>
      </c>
      <c r="C38" s="58" t="s">
        <v>241</v>
      </c>
      <c r="D38" s="56">
        <v>16</v>
      </c>
      <c r="E38" s="56">
        <v>14</v>
      </c>
      <c r="F38" s="56">
        <f t="shared" si="0"/>
        <v>2</v>
      </c>
      <c r="G38" s="59" t="s">
        <v>522</v>
      </c>
    </row>
    <row r="39" spans="1:7" x14ac:dyDescent="0.25">
      <c r="A39" s="56">
        <v>16</v>
      </c>
      <c r="B39" s="57" t="s">
        <v>12</v>
      </c>
      <c r="C39" s="58" t="s">
        <v>451</v>
      </c>
      <c r="D39" s="56">
        <v>12</v>
      </c>
      <c r="E39" s="56">
        <v>10</v>
      </c>
      <c r="F39" s="56">
        <f t="shared" si="0"/>
        <v>2</v>
      </c>
      <c r="G39" s="59" t="s">
        <v>159</v>
      </c>
    </row>
    <row r="40" spans="1:7" x14ac:dyDescent="0.25">
      <c r="A40" s="56">
        <v>16</v>
      </c>
      <c r="B40" s="57" t="s">
        <v>12</v>
      </c>
      <c r="C40" s="58" t="s">
        <v>591</v>
      </c>
      <c r="D40" s="56">
        <v>16</v>
      </c>
      <c r="E40" s="56">
        <v>14</v>
      </c>
      <c r="F40" s="56">
        <f t="shared" si="0"/>
        <v>2</v>
      </c>
      <c r="G40" s="59" t="s">
        <v>1050</v>
      </c>
    </row>
    <row r="41" spans="1:7" x14ac:dyDescent="0.25">
      <c r="A41" s="56">
        <v>16</v>
      </c>
      <c r="B41" s="57" t="s">
        <v>12</v>
      </c>
      <c r="C41" s="58" t="s">
        <v>678</v>
      </c>
      <c r="D41" s="56">
        <v>10</v>
      </c>
      <c r="E41" s="56">
        <v>10</v>
      </c>
      <c r="F41" s="56">
        <f t="shared" si="0"/>
        <v>0</v>
      </c>
      <c r="G41" s="59"/>
    </row>
    <row r="42" spans="1:7" x14ac:dyDescent="0.25">
      <c r="A42" s="17">
        <v>16</v>
      </c>
      <c r="B42" s="18" t="s">
        <v>12</v>
      </c>
      <c r="C42" s="37" t="s">
        <v>133</v>
      </c>
      <c r="D42" s="17">
        <v>14</v>
      </c>
      <c r="E42" s="17">
        <v>14</v>
      </c>
      <c r="F42" s="17">
        <f t="shared" si="0"/>
        <v>0</v>
      </c>
      <c r="G42" s="19"/>
    </row>
    <row r="43" spans="1:7" x14ac:dyDescent="0.25">
      <c r="A43" s="17">
        <v>16</v>
      </c>
      <c r="B43" s="18" t="s">
        <v>12</v>
      </c>
      <c r="C43" s="37" t="s">
        <v>428</v>
      </c>
      <c r="D43" s="17">
        <v>78</v>
      </c>
      <c r="E43" s="17">
        <v>72</v>
      </c>
      <c r="F43" s="17">
        <f t="shared" ref="F43:F44" si="1">D43-E43</f>
        <v>6</v>
      </c>
      <c r="G43" s="19" t="s">
        <v>807</v>
      </c>
    </row>
    <row r="44" spans="1:7" x14ac:dyDescent="0.25">
      <c r="A44" s="17">
        <v>16</v>
      </c>
      <c r="B44" s="18" t="s">
        <v>12</v>
      </c>
      <c r="C44" s="37" t="s">
        <v>308</v>
      </c>
      <c r="D44" s="17">
        <v>24</v>
      </c>
      <c r="E44" s="17">
        <v>24</v>
      </c>
      <c r="F44" s="17">
        <f t="shared" si="1"/>
        <v>0</v>
      </c>
      <c r="G44" s="19"/>
    </row>
    <row r="45" spans="1:7" x14ac:dyDescent="0.25">
      <c r="A45" s="17">
        <v>16</v>
      </c>
      <c r="B45" s="18" t="s">
        <v>12</v>
      </c>
      <c r="C45" s="37" t="s">
        <v>359</v>
      </c>
      <c r="D45" s="17">
        <v>16</v>
      </c>
      <c r="E45" s="17">
        <v>16</v>
      </c>
      <c r="F45" s="17">
        <f t="shared" si="0"/>
        <v>0</v>
      </c>
      <c r="G45" s="19" t="s">
        <v>524</v>
      </c>
    </row>
    <row r="46" spans="1:7" x14ac:dyDescent="0.25">
      <c r="A46" s="17">
        <v>16</v>
      </c>
      <c r="B46" s="18" t="s">
        <v>12</v>
      </c>
      <c r="C46" s="37" t="s">
        <v>335</v>
      </c>
      <c r="D46" s="17">
        <v>4</v>
      </c>
      <c r="E46" s="17">
        <v>4</v>
      </c>
      <c r="F46" s="17">
        <f t="shared" si="0"/>
        <v>0</v>
      </c>
      <c r="G46" s="19"/>
    </row>
    <row r="47" spans="1:7" x14ac:dyDescent="0.25">
      <c r="A47" s="17">
        <v>16</v>
      </c>
      <c r="B47" s="18" t="s">
        <v>12</v>
      </c>
      <c r="C47" s="37" t="s">
        <v>826</v>
      </c>
      <c r="D47" s="17">
        <v>8</v>
      </c>
      <c r="E47" s="17">
        <v>8</v>
      </c>
      <c r="F47" s="17">
        <f t="shared" si="0"/>
        <v>0</v>
      </c>
      <c r="G47" s="19" t="s">
        <v>225</v>
      </c>
    </row>
    <row r="48" spans="1:7" x14ac:dyDescent="0.25">
      <c r="A48" s="17">
        <v>16</v>
      </c>
      <c r="B48" s="18" t="s">
        <v>12</v>
      </c>
      <c r="C48" s="37" t="s">
        <v>459</v>
      </c>
      <c r="D48" s="17">
        <v>26</v>
      </c>
      <c r="E48" s="17">
        <v>26</v>
      </c>
      <c r="F48" s="17">
        <f t="shared" si="0"/>
        <v>0</v>
      </c>
      <c r="G48" s="22" t="s">
        <v>159</v>
      </c>
    </row>
    <row r="49" spans="1:7" x14ac:dyDescent="0.25">
      <c r="A49" s="17">
        <v>16</v>
      </c>
      <c r="B49" s="18" t="s">
        <v>12</v>
      </c>
      <c r="C49" s="37" t="s">
        <v>402</v>
      </c>
      <c r="D49" s="17">
        <v>32</v>
      </c>
      <c r="E49" s="17">
        <v>32</v>
      </c>
      <c r="F49" s="17">
        <f t="shared" si="0"/>
        <v>0</v>
      </c>
      <c r="G49" s="22" t="s">
        <v>159</v>
      </c>
    </row>
    <row r="50" spans="1:7" x14ac:dyDescent="0.25">
      <c r="A50" s="17">
        <v>16</v>
      </c>
      <c r="B50" s="18" t="s">
        <v>12</v>
      </c>
      <c r="C50" s="37" t="s">
        <v>257</v>
      </c>
      <c r="D50" s="17">
        <v>196</v>
      </c>
      <c r="E50" s="17">
        <v>196</v>
      </c>
      <c r="F50" s="17">
        <f>D50-E50</f>
        <v>0</v>
      </c>
      <c r="G50" s="19"/>
    </row>
    <row r="51" spans="1:7" x14ac:dyDescent="0.25">
      <c r="A51" s="17">
        <v>16</v>
      </c>
      <c r="B51" s="18" t="s">
        <v>12</v>
      </c>
      <c r="C51" s="37" t="s">
        <v>818</v>
      </c>
      <c r="D51" s="17">
        <v>4</v>
      </c>
      <c r="E51" s="17">
        <v>4</v>
      </c>
      <c r="F51" s="17">
        <f>D51-E51</f>
        <v>0</v>
      </c>
      <c r="G51" s="19"/>
    </row>
    <row r="52" spans="1:7" x14ac:dyDescent="0.25">
      <c r="A52" s="17">
        <v>16</v>
      </c>
      <c r="B52" s="18" t="s">
        <v>12</v>
      </c>
      <c r="C52" s="37" t="s">
        <v>819</v>
      </c>
      <c r="D52" s="17">
        <v>4</v>
      </c>
      <c r="E52" s="17">
        <v>4</v>
      </c>
      <c r="F52" s="17">
        <f>D52-E52</f>
        <v>0</v>
      </c>
      <c r="G52" s="19"/>
    </row>
    <row r="53" spans="1:7" x14ac:dyDescent="0.25">
      <c r="A53" s="17">
        <v>16</v>
      </c>
      <c r="B53" s="18" t="s">
        <v>12</v>
      </c>
      <c r="C53" s="37" t="s">
        <v>86</v>
      </c>
      <c r="D53" s="17">
        <v>20</v>
      </c>
      <c r="E53" s="17">
        <v>20</v>
      </c>
      <c r="F53" s="17">
        <f>D53-E53</f>
        <v>0</v>
      </c>
      <c r="G53" s="19"/>
    </row>
    <row r="54" spans="1:7" x14ac:dyDescent="0.25">
      <c r="A54" s="17">
        <v>16</v>
      </c>
      <c r="B54" s="18" t="s">
        <v>12</v>
      </c>
      <c r="C54" s="37" t="s">
        <v>593</v>
      </c>
      <c r="D54" s="17">
        <v>10</v>
      </c>
      <c r="E54" s="17">
        <v>10</v>
      </c>
      <c r="F54" s="17">
        <f>D54-E54</f>
        <v>0</v>
      </c>
      <c r="G54" s="19"/>
    </row>
    <row r="55" spans="1:7" x14ac:dyDescent="0.25">
      <c r="A55" s="17">
        <v>16</v>
      </c>
      <c r="B55" s="18" t="s">
        <v>12</v>
      </c>
      <c r="C55" s="37" t="s">
        <v>799</v>
      </c>
      <c r="D55" s="17">
        <v>12</v>
      </c>
      <c r="E55" s="17">
        <v>12</v>
      </c>
      <c r="F55" s="17">
        <f t="shared" si="0"/>
        <v>0</v>
      </c>
      <c r="G55" s="19" t="s">
        <v>159</v>
      </c>
    </row>
    <row r="56" spans="1:7" x14ac:dyDescent="0.25">
      <c r="A56" s="17">
        <v>16</v>
      </c>
      <c r="B56" s="18" t="s">
        <v>12</v>
      </c>
      <c r="C56" s="37" t="s">
        <v>548</v>
      </c>
      <c r="D56" s="17">
        <v>12</v>
      </c>
      <c r="E56" s="17">
        <v>8</v>
      </c>
      <c r="F56" s="17">
        <f t="shared" si="0"/>
        <v>4</v>
      </c>
      <c r="G56" s="19" t="s">
        <v>159</v>
      </c>
    </row>
    <row r="57" spans="1:7" x14ac:dyDescent="0.25">
      <c r="A57" s="17">
        <v>16</v>
      </c>
      <c r="B57" s="18" t="s">
        <v>12</v>
      </c>
      <c r="C57" s="37" t="s">
        <v>275</v>
      </c>
      <c r="D57" s="17">
        <v>8</v>
      </c>
      <c r="E57" s="17">
        <v>8</v>
      </c>
      <c r="F57" s="17">
        <f t="shared" si="0"/>
        <v>0</v>
      </c>
      <c r="G57" s="19" t="s">
        <v>159</v>
      </c>
    </row>
    <row r="58" spans="1:7" x14ac:dyDescent="0.25">
      <c r="A58" s="17">
        <v>16</v>
      </c>
      <c r="B58" s="18" t="s">
        <v>12</v>
      </c>
      <c r="C58" s="37" t="s">
        <v>300</v>
      </c>
      <c r="D58" s="17">
        <v>8</v>
      </c>
      <c r="E58" s="17">
        <v>4</v>
      </c>
      <c r="F58" s="17">
        <f t="shared" si="0"/>
        <v>4</v>
      </c>
      <c r="G58" s="19" t="s">
        <v>633</v>
      </c>
    </row>
    <row r="59" spans="1:7" x14ac:dyDescent="0.25">
      <c r="A59" s="17">
        <v>16</v>
      </c>
      <c r="B59" s="18" t="s">
        <v>12</v>
      </c>
      <c r="C59" s="37" t="s">
        <v>679</v>
      </c>
      <c r="D59" s="17">
        <v>8</v>
      </c>
      <c r="E59" s="17">
        <v>8</v>
      </c>
      <c r="F59" s="17">
        <f t="shared" si="0"/>
        <v>0</v>
      </c>
      <c r="G59" s="19" t="s">
        <v>159</v>
      </c>
    </row>
    <row r="60" spans="1:7" x14ac:dyDescent="0.25">
      <c r="A60" s="17">
        <v>16</v>
      </c>
      <c r="B60" s="18" t="s">
        <v>12</v>
      </c>
      <c r="C60" s="37" t="s">
        <v>822</v>
      </c>
      <c r="D60" s="17">
        <v>14</v>
      </c>
      <c r="E60" s="17">
        <v>14</v>
      </c>
      <c r="F60" s="17">
        <f t="shared" si="0"/>
        <v>0</v>
      </c>
      <c r="G60" s="19"/>
    </row>
    <row r="61" spans="1:7" x14ac:dyDescent="0.25">
      <c r="A61" s="17">
        <v>16</v>
      </c>
      <c r="B61" s="18" t="s">
        <v>12</v>
      </c>
      <c r="C61" s="37" t="s">
        <v>657</v>
      </c>
      <c r="D61" s="17">
        <v>6</v>
      </c>
      <c r="E61" s="17">
        <v>6</v>
      </c>
      <c r="F61" s="17">
        <f t="shared" si="0"/>
        <v>0</v>
      </c>
      <c r="G61" s="19"/>
    </row>
    <row r="62" spans="1:7" x14ac:dyDescent="0.25">
      <c r="A62" s="17">
        <v>16</v>
      </c>
      <c r="B62" s="18" t="s">
        <v>12</v>
      </c>
      <c r="C62" s="37" t="s">
        <v>266</v>
      </c>
      <c r="D62" s="17">
        <v>42</v>
      </c>
      <c r="E62" s="17">
        <v>42</v>
      </c>
      <c r="F62" s="17">
        <f t="shared" si="0"/>
        <v>0</v>
      </c>
      <c r="G62" s="148" t="s">
        <v>751</v>
      </c>
    </row>
    <row r="63" spans="1:7" x14ac:dyDescent="0.25">
      <c r="A63" s="17">
        <v>16</v>
      </c>
      <c r="B63" s="18" t="s">
        <v>12</v>
      </c>
      <c r="C63" s="37" t="s">
        <v>689</v>
      </c>
      <c r="D63" s="23">
        <v>22</v>
      </c>
      <c r="E63" s="17">
        <v>18</v>
      </c>
      <c r="F63" s="17">
        <f t="shared" si="0"/>
        <v>4</v>
      </c>
      <c r="G63" s="19" t="s">
        <v>607</v>
      </c>
    </row>
    <row r="64" spans="1:7" ht="15.75" thickBot="1" x14ac:dyDescent="0.3">
      <c r="A64" s="17">
        <v>16</v>
      </c>
      <c r="B64" s="18" t="s">
        <v>12</v>
      </c>
      <c r="C64" s="37" t="s">
        <v>111</v>
      </c>
      <c r="D64" s="23">
        <v>30</v>
      </c>
      <c r="E64" s="17">
        <v>28</v>
      </c>
      <c r="F64" s="23">
        <f t="shared" si="0"/>
        <v>2</v>
      </c>
      <c r="G64" s="19" t="s">
        <v>458</v>
      </c>
    </row>
    <row r="65" spans="1:8" ht="15.75" thickBot="1" x14ac:dyDescent="0.3">
      <c r="A65" s="96"/>
      <c r="B65" s="97" t="s">
        <v>78</v>
      </c>
      <c r="C65" s="98"/>
      <c r="D65" s="120"/>
      <c r="E65" s="120"/>
      <c r="F65" s="120"/>
      <c r="G65" s="100"/>
    </row>
    <row r="66" spans="1:8" x14ac:dyDescent="0.25">
      <c r="A66" s="17">
        <v>16</v>
      </c>
      <c r="B66" s="18" t="s">
        <v>78</v>
      </c>
      <c r="C66" s="37" t="s">
        <v>994</v>
      </c>
      <c r="D66" s="23">
        <v>130</v>
      </c>
      <c r="E66" s="17">
        <v>122</v>
      </c>
      <c r="F66" s="23">
        <f t="shared" si="0"/>
        <v>8</v>
      </c>
      <c r="G66" s="19" t="s">
        <v>750</v>
      </c>
    </row>
    <row r="67" spans="1:8" x14ac:dyDescent="0.25">
      <c r="A67" s="17">
        <v>16</v>
      </c>
      <c r="B67" s="18" t="s">
        <v>78</v>
      </c>
      <c r="C67" s="37" t="s">
        <v>714</v>
      </c>
      <c r="D67" s="23">
        <v>14</v>
      </c>
      <c r="E67" s="17">
        <v>10</v>
      </c>
      <c r="F67" s="23">
        <f t="shared" si="0"/>
        <v>4</v>
      </c>
      <c r="G67" s="19" t="s">
        <v>607</v>
      </c>
    </row>
    <row r="68" spans="1:8" x14ac:dyDescent="0.25">
      <c r="A68" s="17">
        <v>16</v>
      </c>
      <c r="B68" s="18" t="s">
        <v>78</v>
      </c>
      <c r="C68" s="37" t="s">
        <v>826</v>
      </c>
      <c r="D68" s="23">
        <v>2</v>
      </c>
      <c r="E68" s="17"/>
      <c r="F68" s="23">
        <f t="shared" si="0"/>
        <v>2</v>
      </c>
      <c r="G68" s="19" t="s">
        <v>1028</v>
      </c>
    </row>
    <row r="69" spans="1:8" x14ac:dyDescent="0.25">
      <c r="A69" s="17">
        <v>16</v>
      </c>
      <c r="B69" s="18" t="s">
        <v>78</v>
      </c>
      <c r="C69" s="37" t="s">
        <v>237</v>
      </c>
      <c r="D69" s="23">
        <v>36</v>
      </c>
      <c r="E69" s="17">
        <v>32</v>
      </c>
      <c r="F69" s="23">
        <f t="shared" si="0"/>
        <v>4</v>
      </c>
      <c r="G69" s="19" t="s">
        <v>159</v>
      </c>
    </row>
    <row r="70" spans="1:8" x14ac:dyDescent="0.25">
      <c r="A70" s="17">
        <v>16</v>
      </c>
      <c r="B70" s="18" t="s">
        <v>78</v>
      </c>
      <c r="C70" s="37" t="s">
        <v>22</v>
      </c>
      <c r="D70" s="23">
        <v>74</v>
      </c>
      <c r="E70" s="17">
        <v>60</v>
      </c>
      <c r="F70" s="23">
        <f t="shared" si="0"/>
        <v>14</v>
      </c>
      <c r="G70" s="19" t="s">
        <v>747</v>
      </c>
      <c r="H70" t="s">
        <v>721</v>
      </c>
    </row>
    <row r="71" spans="1:8" x14ac:dyDescent="0.25">
      <c r="A71" s="17">
        <v>16</v>
      </c>
      <c r="B71" s="18" t="s">
        <v>78</v>
      </c>
      <c r="C71" s="37" t="s">
        <v>735</v>
      </c>
      <c r="D71" s="23">
        <v>4</v>
      </c>
      <c r="E71" s="17"/>
      <c r="F71" s="23">
        <f t="shared" si="0"/>
        <v>4</v>
      </c>
      <c r="G71" s="19"/>
    </row>
    <row r="72" spans="1:8" x14ac:dyDescent="0.25">
      <c r="A72" s="17">
        <v>16</v>
      </c>
      <c r="B72" s="18" t="s">
        <v>78</v>
      </c>
      <c r="C72" s="37" t="s">
        <v>1007</v>
      </c>
      <c r="D72" s="23">
        <v>4</v>
      </c>
      <c r="E72" s="17"/>
      <c r="F72" s="23">
        <f t="shared" si="0"/>
        <v>4</v>
      </c>
      <c r="G72" s="19" t="s">
        <v>729</v>
      </c>
    </row>
    <row r="73" spans="1:8" x14ac:dyDescent="0.25">
      <c r="A73" s="17">
        <v>16</v>
      </c>
      <c r="B73" s="18" t="s">
        <v>78</v>
      </c>
      <c r="C73" s="37" t="s">
        <v>146</v>
      </c>
      <c r="D73" s="23">
        <v>40</v>
      </c>
      <c r="E73" s="17">
        <v>38</v>
      </c>
      <c r="F73" s="23">
        <f t="shared" si="0"/>
        <v>2</v>
      </c>
      <c r="G73" s="19"/>
    </row>
    <row r="74" spans="1:8" x14ac:dyDescent="0.25">
      <c r="A74" s="17">
        <v>16</v>
      </c>
      <c r="B74" s="18" t="s">
        <v>78</v>
      </c>
      <c r="C74" s="37" t="s">
        <v>821</v>
      </c>
      <c r="D74" s="23">
        <v>8</v>
      </c>
      <c r="E74" s="17">
        <v>4</v>
      </c>
      <c r="F74" s="23">
        <f t="shared" si="0"/>
        <v>4</v>
      </c>
      <c r="G74" s="19" t="s">
        <v>159</v>
      </c>
    </row>
    <row r="75" spans="1:8" x14ac:dyDescent="0.25">
      <c r="A75" s="17">
        <v>16</v>
      </c>
      <c r="B75" s="41" t="s">
        <v>78</v>
      </c>
      <c r="C75" s="37" t="s">
        <v>269</v>
      </c>
      <c r="D75" s="35">
        <v>28</v>
      </c>
      <c r="E75" s="35">
        <v>22</v>
      </c>
      <c r="F75" s="35">
        <f t="shared" si="0"/>
        <v>6</v>
      </c>
      <c r="G75" s="36" t="s">
        <v>995</v>
      </c>
    </row>
    <row r="76" spans="1:8" x14ac:dyDescent="0.25">
      <c r="A76" s="17">
        <v>16</v>
      </c>
      <c r="B76" s="41" t="s">
        <v>78</v>
      </c>
      <c r="C76" s="37" t="s">
        <v>993</v>
      </c>
      <c r="D76" s="35">
        <v>4</v>
      </c>
      <c r="E76" s="35">
        <v>4</v>
      </c>
      <c r="F76" s="35">
        <f t="shared" si="0"/>
        <v>0</v>
      </c>
      <c r="G76" s="36" t="s">
        <v>607</v>
      </c>
    </row>
    <row r="77" spans="1:8" x14ac:dyDescent="0.25">
      <c r="A77" s="17">
        <v>16</v>
      </c>
      <c r="B77" s="41" t="s">
        <v>78</v>
      </c>
      <c r="C77" s="37" t="s">
        <v>266</v>
      </c>
      <c r="D77" s="35">
        <v>2</v>
      </c>
      <c r="E77" s="35"/>
      <c r="F77" s="35">
        <f t="shared" si="0"/>
        <v>2</v>
      </c>
      <c r="G77" s="36"/>
    </row>
    <row r="78" spans="1:8" x14ac:dyDescent="0.25">
      <c r="A78" s="17">
        <v>16</v>
      </c>
      <c r="B78" s="41" t="s">
        <v>78</v>
      </c>
      <c r="C78" s="37" t="s">
        <v>1099</v>
      </c>
      <c r="D78" s="35">
        <v>8</v>
      </c>
      <c r="E78" s="35"/>
      <c r="F78" s="35">
        <f t="shared" si="0"/>
        <v>8</v>
      </c>
      <c r="G78" s="36" t="s">
        <v>729</v>
      </c>
    </row>
    <row r="79" spans="1:8" x14ac:dyDescent="0.25">
      <c r="A79" s="17">
        <v>16</v>
      </c>
      <c r="B79" s="41" t="s">
        <v>78</v>
      </c>
      <c r="C79" s="37" t="s">
        <v>426</v>
      </c>
      <c r="D79" s="35">
        <v>8</v>
      </c>
      <c r="E79" s="35">
        <v>8</v>
      </c>
      <c r="F79" s="35">
        <f t="shared" si="0"/>
        <v>0</v>
      </c>
      <c r="G79" s="36" t="s">
        <v>607</v>
      </c>
    </row>
    <row r="80" spans="1:8" x14ac:dyDescent="0.25">
      <c r="A80" s="17">
        <v>16</v>
      </c>
      <c r="B80" s="41" t="s">
        <v>78</v>
      </c>
      <c r="C80" s="37" t="s">
        <v>819</v>
      </c>
      <c r="D80" s="35">
        <v>4</v>
      </c>
      <c r="E80" s="35">
        <v>4</v>
      </c>
      <c r="F80" s="35">
        <f t="shared" si="0"/>
        <v>0</v>
      </c>
      <c r="G80" s="36"/>
    </row>
    <row r="81" spans="1:8" x14ac:dyDescent="0.25">
      <c r="A81" s="17">
        <v>16</v>
      </c>
      <c r="B81" s="24" t="s">
        <v>78</v>
      </c>
      <c r="C81" s="37" t="s">
        <v>253</v>
      </c>
      <c r="D81" s="23">
        <v>288</v>
      </c>
      <c r="E81" s="23">
        <v>288</v>
      </c>
      <c r="F81" s="23">
        <f>D81-E81</f>
        <v>0</v>
      </c>
      <c r="G81" s="153" t="s">
        <v>915</v>
      </c>
    </row>
    <row r="82" spans="1:8" x14ac:dyDescent="0.25">
      <c r="A82" s="71"/>
      <c r="B82" s="101" t="s">
        <v>77</v>
      </c>
      <c r="C82" s="72"/>
      <c r="D82" s="74"/>
      <c r="E82" s="74"/>
      <c r="F82" s="74"/>
      <c r="G82" s="102"/>
      <c r="H82" t="s">
        <v>207</v>
      </c>
    </row>
    <row r="83" spans="1:8" x14ac:dyDescent="0.25">
      <c r="A83" s="17">
        <v>16</v>
      </c>
      <c r="B83" s="41" t="s">
        <v>235</v>
      </c>
      <c r="C83" s="37" t="s">
        <v>254</v>
      </c>
      <c r="D83" s="35">
        <v>36</v>
      </c>
      <c r="E83" s="35">
        <v>32</v>
      </c>
      <c r="F83" s="35">
        <f t="shared" ref="F83:F133" si="2">D83-E83</f>
        <v>4</v>
      </c>
      <c r="G83" s="36" t="s">
        <v>159</v>
      </c>
    </row>
    <row r="84" spans="1:8" x14ac:dyDescent="0.25">
      <c r="A84" s="17">
        <v>16</v>
      </c>
      <c r="B84" s="41" t="s">
        <v>235</v>
      </c>
      <c r="C84" s="37" t="s">
        <v>359</v>
      </c>
      <c r="D84" s="35">
        <v>20</v>
      </c>
      <c r="E84" s="35">
        <v>20</v>
      </c>
      <c r="F84" s="35">
        <f t="shared" si="2"/>
        <v>0</v>
      </c>
      <c r="G84" s="36" t="s">
        <v>603</v>
      </c>
    </row>
    <row r="85" spans="1:8" x14ac:dyDescent="0.25">
      <c r="A85" s="17">
        <v>16</v>
      </c>
      <c r="B85" s="41" t="s">
        <v>235</v>
      </c>
      <c r="C85" s="37" t="s">
        <v>327</v>
      </c>
      <c r="D85" s="35">
        <v>22</v>
      </c>
      <c r="E85" s="35">
        <v>22</v>
      </c>
      <c r="F85" s="35">
        <f t="shared" si="2"/>
        <v>0</v>
      </c>
      <c r="G85" s="36" t="s">
        <v>225</v>
      </c>
    </row>
    <row r="86" spans="1:8" x14ac:dyDescent="0.25">
      <c r="A86" s="17">
        <v>16</v>
      </c>
      <c r="B86" s="41" t="s">
        <v>235</v>
      </c>
      <c r="C86" s="37" t="s">
        <v>308</v>
      </c>
      <c r="D86" s="35">
        <v>2</v>
      </c>
      <c r="E86" s="35">
        <v>2</v>
      </c>
      <c r="F86" s="35">
        <f t="shared" si="2"/>
        <v>0</v>
      </c>
      <c r="G86" s="36" t="s">
        <v>607</v>
      </c>
    </row>
    <row r="87" spans="1:8" x14ac:dyDescent="0.25">
      <c r="A87" s="17">
        <v>16</v>
      </c>
      <c r="B87" s="41" t="s">
        <v>24</v>
      </c>
      <c r="C87" s="37" t="s">
        <v>463</v>
      </c>
      <c r="D87" s="35">
        <v>8</v>
      </c>
      <c r="E87" s="35">
        <v>8</v>
      </c>
      <c r="F87" s="35">
        <f t="shared" si="2"/>
        <v>0</v>
      </c>
      <c r="G87" s="36" t="s">
        <v>976</v>
      </c>
    </row>
    <row r="88" spans="1:8" x14ac:dyDescent="0.25">
      <c r="A88" s="17">
        <v>16</v>
      </c>
      <c r="B88" s="41" t="s">
        <v>24</v>
      </c>
      <c r="C88" s="37" t="s">
        <v>969</v>
      </c>
      <c r="D88" s="35">
        <v>2</v>
      </c>
      <c r="E88" s="35"/>
      <c r="F88" s="35">
        <f t="shared" si="2"/>
        <v>2</v>
      </c>
      <c r="G88" s="36" t="s">
        <v>1009</v>
      </c>
    </row>
    <row r="89" spans="1:8" x14ac:dyDescent="0.25">
      <c r="A89" s="17">
        <v>16</v>
      </c>
      <c r="B89" s="41" t="s">
        <v>24</v>
      </c>
      <c r="C89" s="37" t="s">
        <v>22</v>
      </c>
      <c r="D89" s="35">
        <v>2</v>
      </c>
      <c r="E89" s="35"/>
      <c r="F89" s="35">
        <f t="shared" si="2"/>
        <v>2</v>
      </c>
      <c r="G89" s="36" t="s">
        <v>729</v>
      </c>
    </row>
    <row r="90" spans="1:8" x14ac:dyDescent="0.25">
      <c r="A90" s="17">
        <v>16</v>
      </c>
      <c r="B90" s="41" t="s">
        <v>24</v>
      </c>
      <c r="C90" s="37" t="s">
        <v>1015</v>
      </c>
      <c r="D90" s="35">
        <v>2</v>
      </c>
      <c r="E90" s="35"/>
      <c r="F90" s="35">
        <f t="shared" si="2"/>
        <v>2</v>
      </c>
      <c r="G90" s="36" t="s">
        <v>1012</v>
      </c>
    </row>
    <row r="91" spans="1:8" x14ac:dyDescent="0.25">
      <c r="A91" s="17">
        <v>16</v>
      </c>
      <c r="B91" s="41" t="s">
        <v>24</v>
      </c>
      <c r="C91" s="37" t="s">
        <v>1011</v>
      </c>
      <c r="D91" s="35">
        <v>2</v>
      </c>
      <c r="E91" s="35"/>
      <c r="F91" s="35">
        <f t="shared" si="2"/>
        <v>2</v>
      </c>
      <c r="G91" s="36" t="s">
        <v>1012</v>
      </c>
    </row>
    <row r="92" spans="1:8" x14ac:dyDescent="0.25">
      <c r="A92" s="17">
        <v>16</v>
      </c>
      <c r="B92" s="41" t="s">
        <v>24</v>
      </c>
      <c r="C92" s="37" t="s">
        <v>1016</v>
      </c>
      <c r="D92" s="35">
        <v>2</v>
      </c>
      <c r="E92" s="35"/>
      <c r="F92" s="35">
        <f t="shared" si="2"/>
        <v>2</v>
      </c>
      <c r="G92" s="36" t="s">
        <v>1017</v>
      </c>
    </row>
    <row r="93" spans="1:8" x14ac:dyDescent="0.25">
      <c r="A93" s="17">
        <v>16</v>
      </c>
      <c r="B93" s="41" t="s">
        <v>24</v>
      </c>
      <c r="C93" s="37" t="s">
        <v>320</v>
      </c>
      <c r="D93" s="35">
        <v>10</v>
      </c>
      <c r="E93" s="35">
        <v>6</v>
      </c>
      <c r="F93" s="35">
        <f t="shared" si="2"/>
        <v>4</v>
      </c>
      <c r="G93" s="36" t="s">
        <v>983</v>
      </c>
    </row>
    <row r="94" spans="1:8" x14ac:dyDescent="0.25">
      <c r="A94" s="20">
        <v>16</v>
      </c>
      <c r="B94" s="24" t="s">
        <v>77</v>
      </c>
      <c r="C94" s="37" t="s">
        <v>500</v>
      </c>
      <c r="D94" s="23">
        <v>14</v>
      </c>
      <c r="E94" s="23">
        <v>12</v>
      </c>
      <c r="F94" s="23">
        <f t="shared" si="2"/>
        <v>2</v>
      </c>
      <c r="G94" s="25" t="s">
        <v>159</v>
      </c>
    </row>
    <row r="95" spans="1:8" x14ac:dyDescent="0.25">
      <c r="A95" s="20">
        <v>16</v>
      </c>
      <c r="B95" s="24" t="s">
        <v>77</v>
      </c>
      <c r="C95" s="37" t="s">
        <v>532</v>
      </c>
      <c r="D95" s="23">
        <v>6</v>
      </c>
      <c r="E95" s="23">
        <v>4</v>
      </c>
      <c r="F95" s="23">
        <f t="shared" si="2"/>
        <v>2</v>
      </c>
      <c r="G95" s="25" t="s">
        <v>607</v>
      </c>
    </row>
    <row r="96" spans="1:8" x14ac:dyDescent="0.25">
      <c r="A96" s="20">
        <v>16</v>
      </c>
      <c r="B96" s="24" t="s">
        <v>77</v>
      </c>
      <c r="C96" s="37" t="s">
        <v>1057</v>
      </c>
      <c r="D96" s="23">
        <v>8</v>
      </c>
      <c r="E96" s="23">
        <v>8</v>
      </c>
      <c r="F96" s="23">
        <f t="shared" si="2"/>
        <v>0</v>
      </c>
      <c r="G96" s="25" t="s">
        <v>159</v>
      </c>
    </row>
    <row r="97" spans="1:7" x14ac:dyDescent="0.25">
      <c r="A97" s="17">
        <v>16</v>
      </c>
      <c r="B97" s="24" t="s">
        <v>77</v>
      </c>
      <c r="C97" s="37" t="s">
        <v>69</v>
      </c>
      <c r="D97" s="23">
        <v>8</v>
      </c>
      <c r="E97" s="23">
        <v>8</v>
      </c>
      <c r="F97" s="23">
        <f t="shared" si="2"/>
        <v>0</v>
      </c>
      <c r="G97" s="25"/>
    </row>
    <row r="98" spans="1:7" x14ac:dyDescent="0.25">
      <c r="A98" s="71"/>
      <c r="B98" s="101" t="s">
        <v>112</v>
      </c>
      <c r="C98" s="72"/>
      <c r="D98" s="74"/>
      <c r="E98" s="74"/>
      <c r="F98" s="74"/>
      <c r="G98" s="102"/>
    </row>
    <row r="99" spans="1:7" x14ac:dyDescent="0.25">
      <c r="A99" s="17">
        <v>16</v>
      </c>
      <c r="B99" s="24" t="s">
        <v>112</v>
      </c>
      <c r="C99" s="37" t="s">
        <v>821</v>
      </c>
      <c r="D99" s="23">
        <v>22</v>
      </c>
      <c r="E99" s="23">
        <v>22</v>
      </c>
      <c r="F99" s="23">
        <f t="shared" si="2"/>
        <v>0</v>
      </c>
      <c r="G99" s="25" t="s">
        <v>159</v>
      </c>
    </row>
    <row r="100" spans="1:7" x14ac:dyDescent="0.25">
      <c r="A100" s="17">
        <v>16</v>
      </c>
      <c r="B100" s="24" t="s">
        <v>112</v>
      </c>
      <c r="C100" s="37" t="s">
        <v>1078</v>
      </c>
      <c r="D100" s="23">
        <v>22</v>
      </c>
      <c r="E100" s="23">
        <v>18</v>
      </c>
      <c r="F100" s="23">
        <f t="shared" si="2"/>
        <v>4</v>
      </c>
      <c r="G100" s="25" t="s">
        <v>159</v>
      </c>
    </row>
    <row r="101" spans="1:7" x14ac:dyDescent="0.25">
      <c r="A101" s="17">
        <v>16</v>
      </c>
      <c r="B101" s="24" t="s">
        <v>112</v>
      </c>
      <c r="C101" s="37" t="s">
        <v>327</v>
      </c>
      <c r="D101" s="23">
        <v>40</v>
      </c>
      <c r="E101" s="23">
        <v>40</v>
      </c>
      <c r="F101" s="23">
        <f t="shared" si="2"/>
        <v>0</v>
      </c>
      <c r="G101" s="25" t="s">
        <v>159</v>
      </c>
    </row>
    <row r="102" spans="1:7" x14ac:dyDescent="0.25">
      <c r="A102" s="17">
        <v>16</v>
      </c>
      <c r="B102" s="24" t="s">
        <v>112</v>
      </c>
      <c r="C102" s="37" t="s">
        <v>812</v>
      </c>
      <c r="D102" s="23">
        <v>12</v>
      </c>
      <c r="E102" s="23">
        <v>12</v>
      </c>
      <c r="F102" s="23">
        <f t="shared" si="2"/>
        <v>0</v>
      </c>
      <c r="G102" s="25" t="s">
        <v>631</v>
      </c>
    </row>
    <row r="103" spans="1:7" x14ac:dyDescent="0.25">
      <c r="A103" s="17">
        <v>16</v>
      </c>
      <c r="B103" s="24" t="s">
        <v>112</v>
      </c>
      <c r="C103" s="37" t="s">
        <v>424</v>
      </c>
      <c r="D103" s="23">
        <v>114</v>
      </c>
      <c r="E103" s="23">
        <v>114</v>
      </c>
      <c r="F103" s="23">
        <f t="shared" si="2"/>
        <v>0</v>
      </c>
      <c r="G103" s="25" t="s">
        <v>159</v>
      </c>
    </row>
    <row r="104" spans="1:7" x14ac:dyDescent="0.25">
      <c r="A104" s="17">
        <v>16</v>
      </c>
      <c r="B104" s="24" t="s">
        <v>112</v>
      </c>
      <c r="C104" s="37" t="s">
        <v>426</v>
      </c>
      <c r="D104" s="23">
        <v>8</v>
      </c>
      <c r="E104" s="23">
        <v>8</v>
      </c>
      <c r="F104" s="23">
        <f t="shared" si="2"/>
        <v>0</v>
      </c>
      <c r="G104" s="25"/>
    </row>
    <row r="105" spans="1:7" x14ac:dyDescent="0.25">
      <c r="A105" s="17">
        <v>16</v>
      </c>
      <c r="B105" s="24" t="s">
        <v>112</v>
      </c>
      <c r="C105" s="37" t="s">
        <v>336</v>
      </c>
      <c r="D105" s="23">
        <v>4</v>
      </c>
      <c r="E105" s="23">
        <v>4</v>
      </c>
      <c r="F105" s="23">
        <f t="shared" si="2"/>
        <v>0</v>
      </c>
      <c r="G105" s="25"/>
    </row>
    <row r="106" spans="1:7" x14ac:dyDescent="0.25">
      <c r="A106" s="17">
        <v>16</v>
      </c>
      <c r="B106" s="24" t="s">
        <v>112</v>
      </c>
      <c r="C106" s="37" t="s">
        <v>809</v>
      </c>
      <c r="D106" s="23">
        <v>8</v>
      </c>
      <c r="E106" s="23">
        <v>8</v>
      </c>
      <c r="F106" s="23">
        <f t="shared" si="2"/>
        <v>0</v>
      </c>
      <c r="G106" s="25" t="s">
        <v>847</v>
      </c>
    </row>
    <row r="107" spans="1:7" x14ac:dyDescent="0.25">
      <c r="A107" s="17">
        <v>16</v>
      </c>
      <c r="B107" s="24" t="s">
        <v>112</v>
      </c>
      <c r="C107" s="37" t="s">
        <v>813</v>
      </c>
      <c r="D107" s="23">
        <v>4</v>
      </c>
      <c r="E107" s="23">
        <v>4</v>
      </c>
      <c r="F107" s="23">
        <f t="shared" si="2"/>
        <v>0</v>
      </c>
      <c r="G107" s="25" t="s">
        <v>507</v>
      </c>
    </row>
    <row r="108" spans="1:7" x14ac:dyDescent="0.25">
      <c r="A108" s="71"/>
      <c r="B108" s="101" t="s">
        <v>31</v>
      </c>
      <c r="C108" s="72"/>
      <c r="D108" s="74"/>
      <c r="E108" s="74"/>
      <c r="F108" s="74"/>
      <c r="G108" s="102"/>
    </row>
    <row r="109" spans="1:7" x14ac:dyDescent="0.25">
      <c r="A109" s="17">
        <v>16</v>
      </c>
      <c r="B109" s="24" t="s">
        <v>31</v>
      </c>
      <c r="C109" s="37" t="s">
        <v>987</v>
      </c>
      <c r="D109" s="23">
        <v>2</v>
      </c>
      <c r="E109" s="23">
        <v>2</v>
      </c>
      <c r="F109" s="23">
        <f t="shared" si="2"/>
        <v>0</v>
      </c>
      <c r="G109" s="25" t="s">
        <v>988</v>
      </c>
    </row>
    <row r="110" spans="1:7" x14ac:dyDescent="0.25">
      <c r="A110" s="17">
        <v>16</v>
      </c>
      <c r="B110" s="24" t="s">
        <v>31</v>
      </c>
      <c r="C110" s="37" t="s">
        <v>897</v>
      </c>
      <c r="D110" s="23">
        <v>10</v>
      </c>
      <c r="E110" s="23">
        <v>8</v>
      </c>
      <c r="F110" s="23">
        <f t="shared" si="2"/>
        <v>2</v>
      </c>
      <c r="G110" s="25"/>
    </row>
    <row r="111" spans="1:7" x14ac:dyDescent="0.25">
      <c r="A111" s="17">
        <v>16</v>
      </c>
      <c r="B111" s="24" t="s">
        <v>31</v>
      </c>
      <c r="C111" s="37" t="s">
        <v>327</v>
      </c>
      <c r="D111" s="23">
        <v>6</v>
      </c>
      <c r="E111" s="23">
        <v>6</v>
      </c>
      <c r="F111" s="23">
        <f t="shared" si="2"/>
        <v>0</v>
      </c>
      <c r="G111" s="25" t="s">
        <v>607</v>
      </c>
    </row>
    <row r="112" spans="1:7" x14ac:dyDescent="0.25">
      <c r="A112" s="17">
        <v>16</v>
      </c>
      <c r="B112" s="24" t="s">
        <v>31</v>
      </c>
      <c r="C112" s="37" t="s">
        <v>899</v>
      </c>
      <c r="D112" s="23">
        <v>10</v>
      </c>
      <c r="E112" s="23">
        <v>10</v>
      </c>
      <c r="F112" s="23">
        <f t="shared" si="2"/>
        <v>0</v>
      </c>
      <c r="G112" s="25"/>
    </row>
    <row r="113" spans="1:8" x14ac:dyDescent="0.25">
      <c r="A113" s="17">
        <v>16</v>
      </c>
      <c r="B113" s="24" t="s">
        <v>31</v>
      </c>
      <c r="C113" s="37" t="s">
        <v>319</v>
      </c>
      <c r="D113" s="23">
        <v>8</v>
      </c>
      <c r="E113" s="23">
        <v>8</v>
      </c>
      <c r="F113" s="23">
        <f t="shared" si="2"/>
        <v>0</v>
      </c>
      <c r="G113" s="25"/>
    </row>
    <row r="114" spans="1:8" x14ac:dyDescent="0.25">
      <c r="A114" s="71"/>
      <c r="B114" s="101" t="s">
        <v>76</v>
      </c>
      <c r="C114" s="72"/>
      <c r="D114" s="74"/>
      <c r="E114" s="74"/>
      <c r="F114" s="74"/>
      <c r="G114" s="102"/>
    </row>
    <row r="115" spans="1:8" x14ac:dyDescent="0.25">
      <c r="A115" s="17">
        <v>16</v>
      </c>
      <c r="B115" s="24" t="s">
        <v>76</v>
      </c>
      <c r="C115" s="116" t="s">
        <v>1055</v>
      </c>
      <c r="D115" s="23">
        <v>6</v>
      </c>
      <c r="E115" s="23">
        <v>6</v>
      </c>
      <c r="F115" s="23">
        <f t="shared" si="2"/>
        <v>0</v>
      </c>
      <c r="G115" s="25" t="s">
        <v>159</v>
      </c>
    </row>
    <row r="116" spans="1:8" x14ac:dyDescent="0.25">
      <c r="A116" s="17">
        <v>16</v>
      </c>
      <c r="B116" s="24" t="s">
        <v>263</v>
      </c>
      <c r="C116" s="116" t="s">
        <v>549</v>
      </c>
      <c r="D116" s="23">
        <v>4</v>
      </c>
      <c r="E116" s="23">
        <v>4</v>
      </c>
      <c r="F116" s="23">
        <f t="shared" si="2"/>
        <v>0</v>
      </c>
      <c r="G116" s="25" t="s">
        <v>225</v>
      </c>
    </row>
    <row r="117" spans="1:8" x14ac:dyDescent="0.25">
      <c r="A117" s="17">
        <v>16</v>
      </c>
      <c r="B117" s="24" t="s">
        <v>76</v>
      </c>
      <c r="C117" s="116" t="s">
        <v>550</v>
      </c>
      <c r="D117" s="23">
        <v>2</v>
      </c>
      <c r="E117" s="23">
        <v>2</v>
      </c>
      <c r="F117" s="23">
        <f t="shared" si="2"/>
        <v>0</v>
      </c>
      <c r="G117" s="25" t="s">
        <v>159</v>
      </c>
    </row>
    <row r="118" spans="1:8" x14ac:dyDescent="0.25">
      <c r="A118" s="71"/>
      <c r="B118" s="101" t="s">
        <v>26</v>
      </c>
      <c r="C118" s="72"/>
      <c r="D118" s="74"/>
      <c r="E118" s="74"/>
      <c r="F118" s="74"/>
      <c r="G118" s="102"/>
      <c r="H118" t="s">
        <v>207</v>
      </c>
    </row>
    <row r="119" spans="1:8" x14ac:dyDescent="0.25">
      <c r="A119" s="20">
        <v>16</v>
      </c>
      <c r="B119" s="24" t="s">
        <v>9</v>
      </c>
      <c r="C119" s="37" t="s">
        <v>404</v>
      </c>
      <c r="D119" s="23">
        <v>2</v>
      </c>
      <c r="E119" s="23"/>
      <c r="F119" s="35">
        <f t="shared" ref="F119:F120" si="3">D119-E119</f>
        <v>2</v>
      </c>
      <c r="G119" s="25" t="s">
        <v>159</v>
      </c>
    </row>
    <row r="120" spans="1:8" x14ac:dyDescent="0.25">
      <c r="A120" s="20">
        <v>16</v>
      </c>
      <c r="B120" s="24" t="s">
        <v>9</v>
      </c>
      <c r="C120" s="37" t="s">
        <v>657</v>
      </c>
      <c r="D120" s="23">
        <v>2</v>
      </c>
      <c r="E120" s="23"/>
      <c r="F120" s="35">
        <f t="shared" si="3"/>
        <v>2</v>
      </c>
      <c r="G120" s="25"/>
    </row>
    <row r="121" spans="1:8" x14ac:dyDescent="0.25">
      <c r="A121" s="20">
        <v>16</v>
      </c>
      <c r="B121" s="24" t="s">
        <v>26</v>
      </c>
      <c r="C121" s="37" t="s">
        <v>922</v>
      </c>
      <c r="D121" s="23">
        <v>20</v>
      </c>
      <c r="E121" s="23">
        <v>20</v>
      </c>
      <c r="F121" s="35">
        <f>D121-E121</f>
        <v>0</v>
      </c>
      <c r="G121" s="25"/>
    </row>
    <row r="122" spans="1:8" x14ac:dyDescent="0.25">
      <c r="A122" s="17">
        <v>16</v>
      </c>
      <c r="B122" s="24" t="s">
        <v>26</v>
      </c>
      <c r="C122" s="37" t="s">
        <v>22</v>
      </c>
      <c r="D122" s="23">
        <v>24</v>
      </c>
      <c r="E122" s="23">
        <v>18</v>
      </c>
      <c r="F122" s="35">
        <f t="shared" si="2"/>
        <v>6</v>
      </c>
      <c r="G122" s="25" t="s">
        <v>151</v>
      </c>
    </row>
    <row r="123" spans="1:8" x14ac:dyDescent="0.25">
      <c r="A123" s="17">
        <v>16</v>
      </c>
      <c r="B123" s="24" t="s">
        <v>26</v>
      </c>
      <c r="C123" s="37" t="s">
        <v>401</v>
      </c>
      <c r="D123" s="23">
        <v>12</v>
      </c>
      <c r="E123" s="23">
        <v>8</v>
      </c>
      <c r="F123" s="35">
        <f t="shared" si="2"/>
        <v>4</v>
      </c>
      <c r="G123" s="25" t="s">
        <v>159</v>
      </c>
    </row>
    <row r="124" spans="1:8" x14ac:dyDescent="0.25">
      <c r="A124" s="17">
        <v>16</v>
      </c>
      <c r="B124" s="24" t="s">
        <v>26</v>
      </c>
      <c r="C124" s="37" t="s">
        <v>932</v>
      </c>
      <c r="D124" s="23">
        <v>16</v>
      </c>
      <c r="E124" s="23">
        <v>12</v>
      </c>
      <c r="F124" s="35">
        <f t="shared" si="2"/>
        <v>4</v>
      </c>
      <c r="G124" s="25"/>
    </row>
    <row r="125" spans="1:8" x14ac:dyDescent="0.25">
      <c r="A125" s="17">
        <v>16</v>
      </c>
      <c r="B125" s="24" t="s">
        <v>26</v>
      </c>
      <c r="C125" s="37" t="s">
        <v>463</v>
      </c>
      <c r="D125" s="23">
        <v>12</v>
      </c>
      <c r="E125" s="23">
        <v>8</v>
      </c>
      <c r="F125" s="23">
        <f t="shared" si="2"/>
        <v>4</v>
      </c>
      <c r="G125" s="25" t="s">
        <v>159</v>
      </c>
    </row>
    <row r="126" spans="1:8" x14ac:dyDescent="0.25">
      <c r="A126" s="17">
        <v>16</v>
      </c>
      <c r="B126" s="24" t="s">
        <v>26</v>
      </c>
      <c r="C126" s="37" t="s">
        <v>930</v>
      </c>
      <c r="D126" s="23">
        <v>8</v>
      </c>
      <c r="E126" s="23">
        <v>8</v>
      </c>
      <c r="F126" s="23">
        <f t="shared" si="2"/>
        <v>0</v>
      </c>
      <c r="G126" s="25"/>
    </row>
    <row r="127" spans="1:8" x14ac:dyDescent="0.25">
      <c r="A127" s="17">
        <v>16</v>
      </c>
      <c r="B127" s="24" t="s">
        <v>26</v>
      </c>
      <c r="C127" s="37" t="s">
        <v>783</v>
      </c>
      <c r="D127" s="23">
        <v>8</v>
      </c>
      <c r="E127" s="23">
        <v>8</v>
      </c>
      <c r="F127" s="23">
        <f t="shared" si="2"/>
        <v>0</v>
      </c>
      <c r="G127" s="25" t="s">
        <v>784</v>
      </c>
    </row>
    <row r="128" spans="1:8" x14ac:dyDescent="0.25">
      <c r="A128" s="17">
        <v>16</v>
      </c>
      <c r="B128" s="24" t="s">
        <v>26</v>
      </c>
      <c r="C128" s="37" t="s">
        <v>259</v>
      </c>
      <c r="D128" s="23">
        <v>6</v>
      </c>
      <c r="E128" s="23">
        <v>6</v>
      </c>
      <c r="F128" s="23">
        <f t="shared" si="2"/>
        <v>0</v>
      </c>
      <c r="G128" s="25" t="s">
        <v>159</v>
      </c>
    </row>
    <row r="129" spans="1:7" x14ac:dyDescent="0.25">
      <c r="A129" s="71"/>
      <c r="B129" s="101" t="s">
        <v>255</v>
      </c>
      <c r="C129" s="72"/>
      <c r="D129" s="74"/>
      <c r="E129" s="74"/>
      <c r="F129" s="74"/>
      <c r="G129" s="102"/>
    </row>
    <row r="130" spans="1:7" x14ac:dyDescent="0.25">
      <c r="A130" s="20">
        <v>16</v>
      </c>
      <c r="B130" s="41" t="s">
        <v>30</v>
      </c>
      <c r="C130" s="37" t="s">
        <v>1051</v>
      </c>
      <c r="D130" s="35">
        <v>20</v>
      </c>
      <c r="E130" s="35">
        <v>16</v>
      </c>
      <c r="F130" s="23">
        <f t="shared" si="2"/>
        <v>4</v>
      </c>
      <c r="G130" s="36" t="s">
        <v>154</v>
      </c>
    </row>
    <row r="131" spans="1:7" x14ac:dyDescent="0.25">
      <c r="A131" s="20">
        <v>16</v>
      </c>
      <c r="B131" s="41" t="s">
        <v>17</v>
      </c>
      <c r="C131" s="37" t="s">
        <v>900</v>
      </c>
      <c r="D131" s="35">
        <v>4</v>
      </c>
      <c r="E131" s="35">
        <v>4</v>
      </c>
      <c r="F131" s="23">
        <f t="shared" si="2"/>
        <v>0</v>
      </c>
      <c r="G131" s="36"/>
    </row>
    <row r="132" spans="1:7" x14ac:dyDescent="0.25">
      <c r="A132" s="20">
        <v>16</v>
      </c>
      <c r="B132" s="41" t="s">
        <v>1064</v>
      </c>
      <c r="C132" s="37" t="s">
        <v>1065</v>
      </c>
      <c r="D132" s="35">
        <v>4</v>
      </c>
      <c r="E132" s="35">
        <v>2</v>
      </c>
      <c r="F132" s="23">
        <f t="shared" si="2"/>
        <v>2</v>
      </c>
      <c r="G132" s="36"/>
    </row>
    <row r="133" spans="1:7" ht="15.75" thickBot="1" x14ac:dyDescent="0.3">
      <c r="A133" s="17"/>
      <c r="B133" s="19"/>
      <c r="C133" s="39" t="s">
        <v>47</v>
      </c>
      <c r="D133" s="30">
        <f>SUM(D2:D132)</f>
        <v>2258</v>
      </c>
      <c r="E133" s="133">
        <f>SUM(E2:E132)</f>
        <v>1996</v>
      </c>
      <c r="F133" s="71">
        <f t="shared" si="2"/>
        <v>262</v>
      </c>
      <c r="G133" s="26"/>
    </row>
    <row r="134" spans="1:7" x14ac:dyDescent="0.25">
      <c r="A134" s="40"/>
    </row>
  </sheetData>
  <sortState xmlns:xlrd2="http://schemas.microsoft.com/office/spreadsheetml/2017/richdata2" ref="A2:G53">
    <sortCondition ref="B2"/>
  </sortState>
  <pageMargins left="0.7" right="0.7" top="0.75" bottom="0.75" header="0.3" footer="0.3"/>
  <pageSetup paperSize="9" scale="9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88"/>
  <sheetViews>
    <sheetView topLeftCell="A20" zoomScale="130" zoomScaleNormal="130" zoomScaleSheetLayoutView="140" workbookViewId="0">
      <selection activeCell="E32" sqref="E32"/>
    </sheetView>
  </sheetViews>
  <sheetFormatPr defaultRowHeight="15" x14ac:dyDescent="0.25"/>
  <cols>
    <col min="2" max="2" width="11.42578125" customWidth="1"/>
    <col min="3" max="3" width="34.85546875" customWidth="1"/>
    <col min="7" max="7" width="12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x14ac:dyDescent="0.25">
      <c r="A2" s="114"/>
      <c r="B2" s="114" t="s">
        <v>36</v>
      </c>
      <c r="C2" s="114"/>
      <c r="D2" s="114"/>
      <c r="E2" s="114"/>
      <c r="F2" s="114"/>
      <c r="G2" s="114"/>
    </row>
    <row r="3" spans="1:8" x14ac:dyDescent="0.25">
      <c r="A3" s="20">
        <v>17</v>
      </c>
      <c r="B3" s="20" t="s">
        <v>338</v>
      </c>
      <c r="C3" s="37" t="s">
        <v>284</v>
      </c>
      <c r="D3" s="20">
        <v>2</v>
      </c>
      <c r="E3" s="20">
        <v>2</v>
      </c>
      <c r="F3" s="2">
        <f t="shared" ref="F3:F112" si="0">D3-E3</f>
        <v>0</v>
      </c>
      <c r="G3" s="22"/>
    </row>
    <row r="4" spans="1:8" x14ac:dyDescent="0.25">
      <c r="A4" s="20">
        <v>17</v>
      </c>
      <c r="B4" s="20" t="s">
        <v>36</v>
      </c>
      <c r="C4" s="37" t="s">
        <v>249</v>
      </c>
      <c r="D4" s="20">
        <v>2</v>
      </c>
      <c r="E4" s="20">
        <v>2</v>
      </c>
      <c r="F4" s="2">
        <f t="shared" si="0"/>
        <v>0</v>
      </c>
      <c r="G4" s="22"/>
    </row>
    <row r="5" spans="1:8" x14ac:dyDescent="0.25">
      <c r="A5" s="20">
        <v>17</v>
      </c>
      <c r="B5" s="20" t="s">
        <v>36</v>
      </c>
      <c r="C5" s="37" t="s">
        <v>166</v>
      </c>
      <c r="D5" s="20">
        <v>2</v>
      </c>
      <c r="E5" s="20">
        <v>2</v>
      </c>
      <c r="F5" s="2">
        <f t="shared" si="0"/>
        <v>0</v>
      </c>
      <c r="G5" s="22"/>
    </row>
    <row r="6" spans="1:8" x14ac:dyDescent="0.25">
      <c r="A6" s="71"/>
      <c r="B6" s="71" t="s">
        <v>11</v>
      </c>
      <c r="C6" s="72"/>
      <c r="D6" s="71"/>
      <c r="E6" s="71"/>
      <c r="F6" s="73"/>
      <c r="G6" s="72"/>
    </row>
    <row r="7" spans="1:8" x14ac:dyDescent="0.25">
      <c r="A7" s="20">
        <v>17</v>
      </c>
      <c r="B7" s="20" t="s">
        <v>11</v>
      </c>
      <c r="C7" s="37" t="s">
        <v>41</v>
      </c>
      <c r="D7" s="20">
        <v>8</v>
      </c>
      <c r="E7" s="20">
        <v>4</v>
      </c>
      <c r="F7" s="2">
        <f t="shared" si="0"/>
        <v>4</v>
      </c>
      <c r="G7" s="21">
        <v>2021</v>
      </c>
      <c r="H7" t="s">
        <v>28</v>
      </c>
    </row>
    <row r="8" spans="1:8" x14ac:dyDescent="0.25">
      <c r="A8" s="20">
        <v>17</v>
      </c>
      <c r="B8" s="20" t="s">
        <v>11</v>
      </c>
      <c r="C8" s="37" t="s">
        <v>684</v>
      </c>
      <c r="D8" s="20">
        <v>4</v>
      </c>
      <c r="E8" s="20"/>
      <c r="F8" s="2">
        <f t="shared" si="0"/>
        <v>4</v>
      </c>
      <c r="G8" s="21" t="s">
        <v>607</v>
      </c>
    </row>
    <row r="9" spans="1:8" x14ac:dyDescent="0.25">
      <c r="A9" s="20">
        <v>17</v>
      </c>
      <c r="B9" s="20" t="s">
        <v>11</v>
      </c>
      <c r="C9" s="37" t="s">
        <v>287</v>
      </c>
      <c r="D9" s="20">
        <v>8</v>
      </c>
      <c r="E9" s="20"/>
      <c r="F9" s="2">
        <f t="shared" si="0"/>
        <v>8</v>
      </c>
      <c r="G9" s="22" t="s">
        <v>504</v>
      </c>
      <c r="H9" t="s">
        <v>605</v>
      </c>
    </row>
    <row r="10" spans="1:8" x14ac:dyDescent="0.25">
      <c r="A10" s="20">
        <v>17</v>
      </c>
      <c r="B10" s="20" t="s">
        <v>11</v>
      </c>
      <c r="C10" s="37" t="s">
        <v>359</v>
      </c>
      <c r="D10" s="20">
        <v>8</v>
      </c>
      <c r="E10" s="20">
        <v>4</v>
      </c>
      <c r="F10" s="2">
        <f t="shared" si="0"/>
        <v>4</v>
      </c>
      <c r="G10" s="22"/>
    </row>
    <row r="11" spans="1:8" x14ac:dyDescent="0.25">
      <c r="A11" s="20">
        <v>17</v>
      </c>
      <c r="B11" s="20" t="s">
        <v>11</v>
      </c>
      <c r="C11" s="37" t="s">
        <v>704</v>
      </c>
      <c r="D11" s="20">
        <v>4</v>
      </c>
      <c r="E11" s="20"/>
      <c r="F11" s="2">
        <f t="shared" si="0"/>
        <v>4</v>
      </c>
      <c r="G11" s="22" t="s">
        <v>607</v>
      </c>
    </row>
    <row r="12" spans="1:8" x14ac:dyDescent="0.25">
      <c r="A12" s="20">
        <v>17</v>
      </c>
      <c r="B12" s="20" t="s">
        <v>11</v>
      </c>
      <c r="C12" s="37" t="s">
        <v>22</v>
      </c>
      <c r="D12" s="20">
        <v>22</v>
      </c>
      <c r="E12" s="20">
        <v>22</v>
      </c>
      <c r="F12" s="2">
        <f t="shared" si="0"/>
        <v>0</v>
      </c>
      <c r="G12" s="22" t="s">
        <v>159</v>
      </c>
    </row>
    <row r="13" spans="1:8" x14ac:dyDescent="0.25">
      <c r="A13" s="20">
        <v>17</v>
      </c>
      <c r="B13" s="20" t="s">
        <v>11</v>
      </c>
      <c r="C13" s="37" t="s">
        <v>1073</v>
      </c>
      <c r="D13" s="20">
        <v>6</v>
      </c>
      <c r="E13" s="20"/>
      <c r="F13" s="2">
        <f t="shared" si="0"/>
        <v>6</v>
      </c>
      <c r="G13" s="22" t="s">
        <v>729</v>
      </c>
    </row>
    <row r="14" spans="1:8" x14ac:dyDescent="0.25">
      <c r="A14" s="20">
        <v>17</v>
      </c>
      <c r="B14" s="20" t="s">
        <v>11</v>
      </c>
      <c r="C14" s="37" t="s">
        <v>580</v>
      </c>
      <c r="D14" s="20">
        <v>4</v>
      </c>
      <c r="E14" s="20"/>
      <c r="F14" s="2">
        <f t="shared" si="0"/>
        <v>4</v>
      </c>
      <c r="G14" s="22"/>
    </row>
    <row r="15" spans="1:8" x14ac:dyDescent="0.25">
      <c r="A15" s="20">
        <v>17</v>
      </c>
      <c r="B15" s="20" t="s">
        <v>11</v>
      </c>
      <c r="C15" s="37" t="s">
        <v>843</v>
      </c>
      <c r="D15" s="20">
        <v>4</v>
      </c>
      <c r="E15" s="20">
        <v>4</v>
      </c>
      <c r="F15" s="2">
        <f t="shared" si="0"/>
        <v>0</v>
      </c>
      <c r="G15" s="22" t="s">
        <v>159</v>
      </c>
    </row>
    <row r="16" spans="1:8" x14ac:dyDescent="0.25">
      <c r="A16" s="20">
        <v>17</v>
      </c>
      <c r="B16" s="20" t="s">
        <v>11</v>
      </c>
      <c r="C16" s="37" t="s">
        <v>426</v>
      </c>
      <c r="D16" s="20">
        <v>24</v>
      </c>
      <c r="E16" s="20">
        <v>8</v>
      </c>
      <c r="F16" s="2">
        <f t="shared" si="0"/>
        <v>16</v>
      </c>
      <c r="G16" s="22"/>
    </row>
    <row r="17" spans="1:7" x14ac:dyDescent="0.25">
      <c r="A17" s="20">
        <v>17</v>
      </c>
      <c r="B17" s="20" t="s">
        <v>11</v>
      </c>
      <c r="C17" s="37" t="s">
        <v>116</v>
      </c>
      <c r="D17" s="20">
        <v>18</v>
      </c>
      <c r="E17" s="20">
        <v>14</v>
      </c>
      <c r="F17" s="2">
        <f t="shared" si="0"/>
        <v>4</v>
      </c>
      <c r="G17" s="22"/>
    </row>
    <row r="18" spans="1:7" x14ac:dyDescent="0.25">
      <c r="A18" s="71"/>
      <c r="B18" s="71" t="s">
        <v>23</v>
      </c>
      <c r="C18" s="72"/>
      <c r="D18" s="71"/>
      <c r="E18" s="71"/>
      <c r="F18" s="73"/>
      <c r="G18" s="72"/>
    </row>
    <row r="19" spans="1:7" x14ac:dyDescent="0.25">
      <c r="A19" s="20">
        <v>17</v>
      </c>
      <c r="B19" s="20" t="s">
        <v>23</v>
      </c>
      <c r="C19" s="37" t="s">
        <v>22</v>
      </c>
      <c r="D19" s="20">
        <v>14</v>
      </c>
      <c r="E19" s="20">
        <v>14</v>
      </c>
      <c r="F19" s="2">
        <f t="shared" si="0"/>
        <v>0</v>
      </c>
      <c r="G19" s="22"/>
    </row>
    <row r="20" spans="1:7" x14ac:dyDescent="0.25">
      <c r="A20" s="20">
        <v>17</v>
      </c>
      <c r="B20" s="20" t="s">
        <v>23</v>
      </c>
      <c r="C20" s="37" t="s">
        <v>898</v>
      </c>
      <c r="D20" s="20">
        <v>10</v>
      </c>
      <c r="E20" s="20"/>
      <c r="F20" s="2">
        <f t="shared" si="0"/>
        <v>10</v>
      </c>
      <c r="G20" s="22" t="s">
        <v>729</v>
      </c>
    </row>
    <row r="21" spans="1:7" x14ac:dyDescent="0.25">
      <c r="A21" s="20">
        <v>17</v>
      </c>
      <c r="B21" s="20" t="s">
        <v>23</v>
      </c>
      <c r="C21" s="37" t="s">
        <v>736</v>
      </c>
      <c r="D21" s="20">
        <v>2</v>
      </c>
      <c r="E21" s="20">
        <v>2</v>
      </c>
      <c r="F21" s="2">
        <f t="shared" si="0"/>
        <v>0</v>
      </c>
      <c r="G21" s="22" t="s">
        <v>983</v>
      </c>
    </row>
    <row r="22" spans="1:7" x14ac:dyDescent="0.25">
      <c r="A22" s="20">
        <v>17</v>
      </c>
      <c r="B22" s="20" t="s">
        <v>23</v>
      </c>
      <c r="C22" s="37" t="s">
        <v>45</v>
      </c>
      <c r="D22" s="20">
        <v>2</v>
      </c>
      <c r="E22" s="20">
        <v>2</v>
      </c>
      <c r="F22" s="2">
        <f t="shared" si="0"/>
        <v>0</v>
      </c>
      <c r="G22" s="22" t="s">
        <v>28</v>
      </c>
    </row>
    <row r="23" spans="1:7" x14ac:dyDescent="0.25">
      <c r="A23" s="20">
        <v>17</v>
      </c>
      <c r="B23" s="20" t="s">
        <v>23</v>
      </c>
      <c r="C23" s="37" t="s">
        <v>821</v>
      </c>
      <c r="D23" s="20">
        <v>42</v>
      </c>
      <c r="E23" s="20">
        <v>42</v>
      </c>
      <c r="F23" s="2">
        <f t="shared" si="0"/>
        <v>0</v>
      </c>
      <c r="G23" s="22" t="s">
        <v>159</v>
      </c>
    </row>
    <row r="24" spans="1:7" x14ac:dyDescent="0.25">
      <c r="A24" s="20">
        <v>17</v>
      </c>
      <c r="B24" s="20" t="s">
        <v>23</v>
      </c>
      <c r="C24" s="37" t="s">
        <v>1071</v>
      </c>
      <c r="D24" s="20">
        <v>16</v>
      </c>
      <c r="E24" s="20">
        <v>8</v>
      </c>
      <c r="F24" s="2">
        <f t="shared" si="0"/>
        <v>8</v>
      </c>
      <c r="G24" s="22"/>
    </row>
    <row r="25" spans="1:7" x14ac:dyDescent="0.25">
      <c r="A25" s="71"/>
      <c r="B25" s="71" t="s">
        <v>12</v>
      </c>
      <c r="C25" s="72"/>
      <c r="D25" s="71"/>
      <c r="E25" s="71"/>
      <c r="F25" s="73"/>
      <c r="G25" s="72"/>
    </row>
    <row r="26" spans="1:7" x14ac:dyDescent="0.25">
      <c r="A26" s="20">
        <v>17</v>
      </c>
      <c r="B26" s="20" t="s">
        <v>12</v>
      </c>
      <c r="C26" s="37" t="s">
        <v>574</v>
      </c>
      <c r="D26" s="20">
        <v>12</v>
      </c>
      <c r="E26" s="20"/>
      <c r="F26" s="2">
        <f t="shared" si="0"/>
        <v>12</v>
      </c>
      <c r="G26" s="22" t="s">
        <v>607</v>
      </c>
    </row>
    <row r="27" spans="1:7" x14ac:dyDescent="0.25">
      <c r="A27" s="20">
        <v>17</v>
      </c>
      <c r="B27" s="20" t="s">
        <v>12</v>
      </c>
      <c r="C27" s="37" t="s">
        <v>147</v>
      </c>
      <c r="D27" s="20">
        <v>22</v>
      </c>
      <c r="E27" s="20">
        <v>22</v>
      </c>
      <c r="F27" s="2">
        <f t="shared" si="0"/>
        <v>0</v>
      </c>
      <c r="G27" s="22" t="s">
        <v>513</v>
      </c>
    </row>
    <row r="28" spans="1:7" x14ac:dyDescent="0.25">
      <c r="A28" s="20">
        <v>17</v>
      </c>
      <c r="B28" s="20" t="s">
        <v>12</v>
      </c>
      <c r="C28" s="37" t="s">
        <v>111</v>
      </c>
      <c r="D28" s="20">
        <v>18</v>
      </c>
      <c r="E28" s="20">
        <v>18</v>
      </c>
      <c r="F28" s="2">
        <f t="shared" si="0"/>
        <v>0</v>
      </c>
      <c r="G28" s="22" t="s">
        <v>730</v>
      </c>
    </row>
    <row r="29" spans="1:7" x14ac:dyDescent="0.25">
      <c r="A29" s="20">
        <v>17</v>
      </c>
      <c r="B29" s="20" t="s">
        <v>12</v>
      </c>
      <c r="C29" s="37" t="s">
        <v>266</v>
      </c>
      <c r="D29" s="20">
        <v>16</v>
      </c>
      <c r="E29" s="20"/>
      <c r="F29" s="2">
        <f t="shared" si="0"/>
        <v>16</v>
      </c>
      <c r="G29" s="22" t="s">
        <v>983</v>
      </c>
    </row>
    <row r="30" spans="1:7" x14ac:dyDescent="0.25">
      <c r="A30" s="20">
        <v>17</v>
      </c>
      <c r="B30" s="20" t="s">
        <v>12</v>
      </c>
      <c r="C30" s="37" t="s">
        <v>421</v>
      </c>
      <c r="D30" s="20">
        <v>24</v>
      </c>
      <c r="E30" s="20">
        <v>16</v>
      </c>
      <c r="F30" s="2">
        <f t="shared" si="0"/>
        <v>8</v>
      </c>
      <c r="G30" s="22" t="s">
        <v>159</v>
      </c>
    </row>
    <row r="31" spans="1:7" x14ac:dyDescent="0.25">
      <c r="A31" s="20">
        <v>17</v>
      </c>
      <c r="B31" s="20" t="s">
        <v>12</v>
      </c>
      <c r="C31" s="37" t="s">
        <v>704</v>
      </c>
      <c r="D31" s="20">
        <v>8</v>
      </c>
      <c r="E31" s="20">
        <v>4</v>
      </c>
      <c r="F31" s="2">
        <f t="shared" si="0"/>
        <v>4</v>
      </c>
      <c r="G31" s="22"/>
    </row>
    <row r="32" spans="1:7" x14ac:dyDescent="0.25">
      <c r="A32" s="20">
        <v>17</v>
      </c>
      <c r="B32" s="20" t="s">
        <v>12</v>
      </c>
      <c r="C32" s="37" t="s">
        <v>464</v>
      </c>
      <c r="D32" s="20">
        <v>16</v>
      </c>
      <c r="E32" s="20">
        <v>16</v>
      </c>
      <c r="F32" s="2">
        <f t="shared" si="0"/>
        <v>0</v>
      </c>
      <c r="G32" s="22" t="s">
        <v>28</v>
      </c>
    </row>
    <row r="33" spans="1:7" x14ac:dyDescent="0.25">
      <c r="A33" s="20">
        <v>17</v>
      </c>
      <c r="B33" s="20" t="s">
        <v>12</v>
      </c>
      <c r="C33" s="37" t="s">
        <v>568</v>
      </c>
      <c r="D33" s="20">
        <v>10</v>
      </c>
      <c r="E33" s="20">
        <v>2</v>
      </c>
      <c r="F33" s="2">
        <f t="shared" si="0"/>
        <v>8</v>
      </c>
      <c r="G33" s="22" t="s">
        <v>709</v>
      </c>
    </row>
    <row r="34" spans="1:7" x14ac:dyDescent="0.25">
      <c r="A34" s="20">
        <v>17</v>
      </c>
      <c r="B34" s="20" t="s">
        <v>12</v>
      </c>
      <c r="C34" s="37" t="s">
        <v>327</v>
      </c>
      <c r="D34" s="20">
        <v>4</v>
      </c>
      <c r="E34" s="20"/>
      <c r="F34" s="2">
        <f t="shared" si="0"/>
        <v>4</v>
      </c>
      <c r="G34" s="22" t="s">
        <v>607</v>
      </c>
    </row>
    <row r="35" spans="1:7" x14ac:dyDescent="0.25">
      <c r="A35" s="20">
        <v>17</v>
      </c>
      <c r="B35" s="20" t="s">
        <v>12</v>
      </c>
      <c r="C35" s="37" t="s">
        <v>22</v>
      </c>
      <c r="D35" s="20">
        <v>18</v>
      </c>
      <c r="E35" s="20">
        <v>14</v>
      </c>
      <c r="F35" s="2">
        <f t="shared" si="0"/>
        <v>4</v>
      </c>
      <c r="G35" s="21">
        <v>2020</v>
      </c>
    </row>
    <row r="36" spans="1:7" x14ac:dyDescent="0.25">
      <c r="A36" s="20">
        <v>17</v>
      </c>
      <c r="B36" s="20" t="s">
        <v>12</v>
      </c>
      <c r="C36" s="37" t="s">
        <v>426</v>
      </c>
      <c r="D36" s="20">
        <v>24</v>
      </c>
      <c r="E36" s="20">
        <v>12</v>
      </c>
      <c r="F36" s="2">
        <f t="shared" si="0"/>
        <v>12</v>
      </c>
      <c r="G36" s="21" t="s">
        <v>607</v>
      </c>
    </row>
    <row r="37" spans="1:7" x14ac:dyDescent="0.25">
      <c r="A37" s="20">
        <v>17</v>
      </c>
      <c r="B37" s="20" t="s">
        <v>12</v>
      </c>
      <c r="C37" s="37" t="s">
        <v>710</v>
      </c>
      <c r="D37" s="20">
        <v>4</v>
      </c>
      <c r="E37" s="20">
        <v>2</v>
      </c>
      <c r="F37" s="2">
        <f t="shared" si="0"/>
        <v>2</v>
      </c>
      <c r="G37" s="21" t="s">
        <v>724</v>
      </c>
    </row>
    <row r="38" spans="1:7" x14ac:dyDescent="0.25">
      <c r="A38" s="20">
        <v>17</v>
      </c>
      <c r="B38" s="20" t="s">
        <v>10</v>
      </c>
      <c r="C38" s="37" t="s">
        <v>147</v>
      </c>
      <c r="D38" s="20">
        <v>2</v>
      </c>
      <c r="E38" s="20"/>
      <c r="F38" s="2">
        <f t="shared" si="0"/>
        <v>2</v>
      </c>
      <c r="G38" s="21" t="s">
        <v>983</v>
      </c>
    </row>
    <row r="39" spans="1:7" x14ac:dyDescent="0.25">
      <c r="A39" s="71"/>
      <c r="B39" s="71" t="s">
        <v>24</v>
      </c>
      <c r="C39" s="72"/>
      <c r="D39" s="71"/>
      <c r="E39" s="71"/>
      <c r="F39" s="73"/>
      <c r="G39" s="72"/>
    </row>
    <row r="40" spans="1:7" x14ac:dyDescent="0.25">
      <c r="A40" s="20">
        <v>17</v>
      </c>
      <c r="B40" s="20" t="s">
        <v>24</v>
      </c>
      <c r="C40" s="37" t="s">
        <v>1045</v>
      </c>
      <c r="D40" s="20">
        <v>8</v>
      </c>
      <c r="E40" s="20">
        <v>4</v>
      </c>
      <c r="F40" s="2">
        <f t="shared" si="0"/>
        <v>4</v>
      </c>
      <c r="G40" s="22" t="s">
        <v>159</v>
      </c>
    </row>
    <row r="41" spans="1:7" x14ac:dyDescent="0.25">
      <c r="A41" s="20">
        <v>17</v>
      </c>
      <c r="B41" s="20" t="s">
        <v>24</v>
      </c>
      <c r="C41" s="37" t="s">
        <v>1067</v>
      </c>
      <c r="D41" s="20">
        <v>4</v>
      </c>
      <c r="E41" s="20">
        <v>4</v>
      </c>
      <c r="F41" s="2">
        <f t="shared" si="0"/>
        <v>0</v>
      </c>
      <c r="G41" s="22" t="s">
        <v>631</v>
      </c>
    </row>
    <row r="42" spans="1:7" x14ac:dyDescent="0.25">
      <c r="A42" s="20">
        <v>17</v>
      </c>
      <c r="B42" s="20" t="s">
        <v>24</v>
      </c>
      <c r="C42" s="37" t="s">
        <v>1061</v>
      </c>
      <c r="D42" s="20">
        <v>4</v>
      </c>
      <c r="E42" s="20">
        <v>4</v>
      </c>
      <c r="F42" s="2">
        <f t="shared" si="0"/>
        <v>0</v>
      </c>
      <c r="G42" s="22"/>
    </row>
    <row r="43" spans="1:7" x14ac:dyDescent="0.25">
      <c r="A43" s="20">
        <v>17</v>
      </c>
      <c r="B43" s="20" t="s">
        <v>24</v>
      </c>
      <c r="C43" s="37" t="s">
        <v>266</v>
      </c>
      <c r="D43" s="20">
        <v>6</v>
      </c>
      <c r="E43" s="20">
        <v>6</v>
      </c>
      <c r="F43" s="2">
        <f t="shared" si="0"/>
        <v>0</v>
      </c>
      <c r="G43" s="22"/>
    </row>
    <row r="44" spans="1:7" x14ac:dyDescent="0.25">
      <c r="A44" s="20">
        <v>17</v>
      </c>
      <c r="B44" s="20" t="s">
        <v>24</v>
      </c>
      <c r="C44" s="37" t="s">
        <v>1013</v>
      </c>
      <c r="D44" s="20">
        <v>2</v>
      </c>
      <c r="E44" s="20"/>
      <c r="F44" s="2">
        <f t="shared" si="0"/>
        <v>2</v>
      </c>
      <c r="G44" s="22" t="s">
        <v>1009</v>
      </c>
    </row>
    <row r="45" spans="1:7" x14ac:dyDescent="0.25">
      <c r="A45" s="20">
        <v>17</v>
      </c>
      <c r="B45" s="20" t="s">
        <v>24</v>
      </c>
      <c r="C45" s="37" t="s">
        <v>1056</v>
      </c>
      <c r="D45" s="20">
        <v>14</v>
      </c>
      <c r="E45" s="20">
        <v>10</v>
      </c>
      <c r="F45" s="2">
        <f>D45-E45</f>
        <v>4</v>
      </c>
      <c r="G45" s="22" t="s">
        <v>159</v>
      </c>
    </row>
    <row r="46" spans="1:7" x14ac:dyDescent="0.25">
      <c r="A46" s="20">
        <v>17</v>
      </c>
      <c r="B46" s="20" t="s">
        <v>24</v>
      </c>
      <c r="C46" s="37" t="s">
        <v>879</v>
      </c>
      <c r="D46" s="20">
        <v>22</v>
      </c>
      <c r="E46" s="20">
        <v>14</v>
      </c>
      <c r="F46" s="2">
        <f>D46-E46</f>
        <v>8</v>
      </c>
      <c r="G46" s="22" t="s">
        <v>354</v>
      </c>
    </row>
    <row r="47" spans="1:7" x14ac:dyDescent="0.25">
      <c r="A47" s="71"/>
      <c r="B47" s="71" t="s">
        <v>81</v>
      </c>
      <c r="C47" s="72"/>
      <c r="D47" s="71"/>
      <c r="E47" s="71"/>
      <c r="F47" s="73"/>
      <c r="G47" s="72"/>
    </row>
    <row r="48" spans="1:7" x14ac:dyDescent="0.25">
      <c r="A48" s="20">
        <v>17</v>
      </c>
      <c r="B48" s="20" t="s">
        <v>81</v>
      </c>
      <c r="C48" s="37" t="s">
        <v>342</v>
      </c>
      <c r="D48" s="20">
        <v>14</v>
      </c>
      <c r="E48" s="20">
        <v>2</v>
      </c>
      <c r="F48" s="2">
        <f t="shared" si="0"/>
        <v>12</v>
      </c>
      <c r="G48" s="22" t="s">
        <v>667</v>
      </c>
    </row>
    <row r="49" spans="1:7" x14ac:dyDescent="0.25">
      <c r="A49" s="20">
        <v>17</v>
      </c>
      <c r="B49" s="20" t="s">
        <v>81</v>
      </c>
      <c r="C49" s="37" t="s">
        <v>947</v>
      </c>
      <c r="D49" s="20">
        <v>10</v>
      </c>
      <c r="E49" s="20">
        <v>6</v>
      </c>
      <c r="F49" s="2">
        <f t="shared" si="0"/>
        <v>4</v>
      </c>
      <c r="G49" s="22"/>
    </row>
    <row r="50" spans="1:7" x14ac:dyDescent="0.25">
      <c r="A50" s="20">
        <v>17</v>
      </c>
      <c r="B50" s="20" t="s">
        <v>81</v>
      </c>
      <c r="C50" s="37" t="s">
        <v>251</v>
      </c>
      <c r="D50" s="20">
        <v>12</v>
      </c>
      <c r="E50" s="20">
        <v>8</v>
      </c>
      <c r="F50" s="2">
        <f t="shared" si="0"/>
        <v>4</v>
      </c>
      <c r="G50" s="22"/>
    </row>
    <row r="51" spans="1:7" x14ac:dyDescent="0.25">
      <c r="A51" s="20">
        <v>17</v>
      </c>
      <c r="B51" s="20" t="s">
        <v>81</v>
      </c>
      <c r="C51" s="37" t="s">
        <v>498</v>
      </c>
      <c r="D51" s="20">
        <v>10</v>
      </c>
      <c r="E51" s="20">
        <v>10</v>
      </c>
      <c r="F51" s="2">
        <f t="shared" si="0"/>
        <v>0</v>
      </c>
      <c r="G51" s="22" t="s">
        <v>1047</v>
      </c>
    </row>
    <row r="52" spans="1:7" x14ac:dyDescent="0.25">
      <c r="A52" s="20">
        <v>17</v>
      </c>
      <c r="B52" s="20" t="s">
        <v>81</v>
      </c>
      <c r="C52" s="37" t="s">
        <v>704</v>
      </c>
      <c r="D52" s="20">
        <v>10</v>
      </c>
      <c r="E52" s="20">
        <v>6</v>
      </c>
      <c r="F52" s="2">
        <f t="shared" si="0"/>
        <v>4</v>
      </c>
      <c r="G52" s="22" t="s">
        <v>607</v>
      </c>
    </row>
    <row r="53" spans="1:7" x14ac:dyDescent="0.25">
      <c r="A53" s="20">
        <v>17</v>
      </c>
      <c r="B53" s="20" t="s">
        <v>81</v>
      </c>
      <c r="C53" s="37" t="s">
        <v>512</v>
      </c>
      <c r="D53" s="20">
        <v>2</v>
      </c>
      <c r="E53" s="20">
        <v>2</v>
      </c>
      <c r="F53" s="2">
        <f t="shared" si="0"/>
        <v>0</v>
      </c>
      <c r="G53" s="22" t="s">
        <v>607</v>
      </c>
    </row>
    <row r="54" spans="1:7" x14ac:dyDescent="0.25">
      <c r="A54" s="20">
        <v>17</v>
      </c>
      <c r="B54" s="20" t="s">
        <v>81</v>
      </c>
      <c r="C54" s="37" t="s">
        <v>984</v>
      </c>
      <c r="D54" s="20">
        <v>2</v>
      </c>
      <c r="E54" s="20">
        <v>2</v>
      </c>
      <c r="F54" s="2">
        <f t="shared" si="0"/>
        <v>0</v>
      </c>
      <c r="G54" s="22" t="s">
        <v>1048</v>
      </c>
    </row>
    <row r="55" spans="1:7" x14ac:dyDescent="0.25">
      <c r="A55" s="71"/>
      <c r="B55" s="71" t="s">
        <v>77</v>
      </c>
      <c r="C55" s="72"/>
      <c r="D55" s="71"/>
      <c r="E55" s="71"/>
      <c r="F55" s="73"/>
      <c r="G55" s="72"/>
    </row>
    <row r="56" spans="1:7" x14ac:dyDescent="0.25">
      <c r="A56" s="20">
        <v>17</v>
      </c>
      <c r="B56" s="20" t="s">
        <v>77</v>
      </c>
      <c r="C56" s="37" t="s">
        <v>266</v>
      </c>
      <c r="D56" s="20">
        <v>18</v>
      </c>
      <c r="E56" s="20">
        <v>14</v>
      </c>
      <c r="F56" s="2">
        <f t="shared" si="0"/>
        <v>4</v>
      </c>
      <c r="G56" s="22"/>
    </row>
    <row r="57" spans="1:7" x14ac:dyDescent="0.25">
      <c r="A57" s="20">
        <v>17</v>
      </c>
      <c r="B57" s="20" t="s">
        <v>77</v>
      </c>
      <c r="C57" s="37" t="s">
        <v>532</v>
      </c>
      <c r="D57" s="20">
        <v>6</v>
      </c>
      <c r="E57" s="20">
        <v>2</v>
      </c>
      <c r="F57" s="2">
        <f t="shared" si="0"/>
        <v>4</v>
      </c>
      <c r="G57" s="22" t="s">
        <v>896</v>
      </c>
    </row>
    <row r="58" spans="1:7" x14ac:dyDescent="0.25">
      <c r="A58" s="20">
        <v>17</v>
      </c>
      <c r="B58" s="20" t="s">
        <v>77</v>
      </c>
      <c r="C58" s="37" t="s">
        <v>459</v>
      </c>
      <c r="D58" s="20">
        <v>40</v>
      </c>
      <c r="E58" s="20">
        <v>40</v>
      </c>
      <c r="F58" s="2">
        <f t="shared" si="0"/>
        <v>0</v>
      </c>
      <c r="G58" s="22"/>
    </row>
    <row r="59" spans="1:7" x14ac:dyDescent="0.25">
      <c r="A59" s="20">
        <v>17</v>
      </c>
      <c r="B59" s="20" t="s">
        <v>77</v>
      </c>
      <c r="C59" s="37" t="s">
        <v>426</v>
      </c>
      <c r="D59" s="20">
        <v>16</v>
      </c>
      <c r="E59" s="20">
        <v>12</v>
      </c>
      <c r="F59" s="2">
        <f t="shared" si="0"/>
        <v>4</v>
      </c>
      <c r="G59" s="22" t="s">
        <v>963</v>
      </c>
    </row>
    <row r="60" spans="1:7" x14ac:dyDescent="0.25">
      <c r="A60" s="20">
        <v>17</v>
      </c>
      <c r="B60" s="20" t="s">
        <v>77</v>
      </c>
      <c r="C60" s="37" t="s">
        <v>850</v>
      </c>
      <c r="D60" s="20">
        <v>12</v>
      </c>
      <c r="E60" s="20"/>
      <c r="F60" s="2">
        <f t="shared" si="0"/>
        <v>12</v>
      </c>
      <c r="G60" s="22" t="s">
        <v>978</v>
      </c>
    </row>
    <row r="61" spans="1:7" x14ac:dyDescent="0.25">
      <c r="A61" s="20">
        <v>17</v>
      </c>
      <c r="B61" s="20" t="s">
        <v>77</v>
      </c>
      <c r="C61" s="37" t="s">
        <v>69</v>
      </c>
      <c r="D61" s="20">
        <v>4</v>
      </c>
      <c r="E61" s="20"/>
      <c r="F61" s="2">
        <f t="shared" si="0"/>
        <v>4</v>
      </c>
      <c r="G61" s="22">
        <v>2021</v>
      </c>
    </row>
    <row r="62" spans="1:7" x14ac:dyDescent="0.25">
      <c r="A62" s="20">
        <v>17</v>
      </c>
      <c r="B62" s="20" t="s">
        <v>77</v>
      </c>
      <c r="C62" s="37" t="s">
        <v>170</v>
      </c>
      <c r="D62" s="20">
        <v>2</v>
      </c>
      <c r="E62" s="20">
        <v>2</v>
      </c>
      <c r="F62" s="2">
        <f t="shared" si="0"/>
        <v>0</v>
      </c>
      <c r="G62" s="22" t="s">
        <v>159</v>
      </c>
    </row>
    <row r="63" spans="1:7" x14ac:dyDescent="0.25">
      <c r="A63" s="20">
        <v>17</v>
      </c>
      <c r="B63" s="20" t="s">
        <v>77</v>
      </c>
      <c r="C63" s="37" t="s">
        <v>262</v>
      </c>
      <c r="D63" s="20">
        <v>48</v>
      </c>
      <c r="E63" s="20">
        <v>48</v>
      </c>
      <c r="F63" s="2">
        <f>D63-E63</f>
        <v>0</v>
      </c>
      <c r="G63" s="22" t="s">
        <v>159</v>
      </c>
    </row>
    <row r="64" spans="1:7" x14ac:dyDescent="0.25">
      <c r="A64" s="20">
        <v>17</v>
      </c>
      <c r="B64" s="20" t="s">
        <v>77</v>
      </c>
      <c r="C64" s="37" t="s">
        <v>845</v>
      </c>
      <c r="D64" s="20">
        <v>8</v>
      </c>
      <c r="E64" s="20">
        <v>4</v>
      </c>
      <c r="F64" s="2">
        <f t="shared" si="0"/>
        <v>4</v>
      </c>
      <c r="G64" s="22" t="s">
        <v>635</v>
      </c>
    </row>
    <row r="65" spans="1:8" x14ac:dyDescent="0.25">
      <c r="A65" s="20">
        <v>17</v>
      </c>
      <c r="B65" s="20" t="s">
        <v>77</v>
      </c>
      <c r="C65" s="37" t="s">
        <v>465</v>
      </c>
      <c r="D65" s="20">
        <v>258</v>
      </c>
      <c r="E65" s="20">
        <v>258</v>
      </c>
      <c r="F65" s="2">
        <f t="shared" si="0"/>
        <v>0</v>
      </c>
      <c r="G65" s="22" t="s">
        <v>1066</v>
      </c>
      <c r="H65" t="s">
        <v>207</v>
      </c>
    </row>
    <row r="66" spans="1:8" hidden="1" x14ac:dyDescent="0.25">
      <c r="A66" s="20">
        <v>17</v>
      </c>
      <c r="B66" s="20" t="s">
        <v>77</v>
      </c>
      <c r="C66" s="37" t="s">
        <v>466</v>
      </c>
      <c r="D66" s="20">
        <v>4</v>
      </c>
      <c r="E66" s="20">
        <v>4</v>
      </c>
      <c r="F66" s="2">
        <f t="shared" si="0"/>
        <v>0</v>
      </c>
      <c r="G66" s="22" t="s">
        <v>159</v>
      </c>
    </row>
    <row r="67" spans="1:8" hidden="1" x14ac:dyDescent="0.25">
      <c r="A67" s="20">
        <v>17</v>
      </c>
      <c r="B67" s="20" t="s">
        <v>77</v>
      </c>
      <c r="C67" s="37" t="s">
        <v>473</v>
      </c>
      <c r="D67" s="20">
        <v>2</v>
      </c>
      <c r="E67" s="20"/>
      <c r="F67" s="2">
        <f t="shared" si="0"/>
        <v>2</v>
      </c>
      <c r="G67" s="22"/>
    </row>
    <row r="68" spans="1:8" hidden="1" x14ac:dyDescent="0.25">
      <c r="A68" s="20">
        <v>17</v>
      </c>
      <c r="B68" s="20" t="s">
        <v>77</v>
      </c>
      <c r="C68" s="37" t="s">
        <v>474</v>
      </c>
      <c r="D68" s="20">
        <v>2</v>
      </c>
      <c r="E68" s="20"/>
      <c r="F68" s="2">
        <f t="shared" si="0"/>
        <v>2</v>
      </c>
      <c r="G68" s="22"/>
    </row>
    <row r="69" spans="1:8" hidden="1" x14ac:dyDescent="0.25">
      <c r="A69" s="20">
        <v>17</v>
      </c>
      <c r="B69" s="20" t="s">
        <v>77</v>
      </c>
      <c r="C69" s="37" t="s">
        <v>478</v>
      </c>
      <c r="D69" s="20">
        <v>2</v>
      </c>
      <c r="E69" s="20"/>
      <c r="F69" s="2">
        <f t="shared" si="0"/>
        <v>2</v>
      </c>
      <c r="G69" s="22"/>
    </row>
    <row r="70" spans="1:8" x14ac:dyDescent="0.25">
      <c r="A70" s="20">
        <v>17</v>
      </c>
      <c r="B70" s="20" t="s">
        <v>77</v>
      </c>
      <c r="C70" s="37" t="s">
        <v>22</v>
      </c>
      <c r="D70" s="20">
        <v>8</v>
      </c>
      <c r="E70" s="20">
        <v>8</v>
      </c>
      <c r="F70" s="2">
        <f t="shared" si="0"/>
        <v>0</v>
      </c>
      <c r="G70" s="22"/>
    </row>
    <row r="71" spans="1:8" x14ac:dyDescent="0.25">
      <c r="A71" s="20">
        <v>17</v>
      </c>
      <c r="B71" s="20" t="s">
        <v>77</v>
      </c>
      <c r="C71" s="37" t="s">
        <v>737</v>
      </c>
      <c r="D71" s="20">
        <v>48</v>
      </c>
      <c r="E71" s="20">
        <v>44</v>
      </c>
      <c r="F71" s="2">
        <f t="shared" si="0"/>
        <v>4</v>
      </c>
      <c r="G71" s="22" t="s">
        <v>875</v>
      </c>
    </row>
    <row r="72" spans="1:8" x14ac:dyDescent="0.25">
      <c r="A72" s="20">
        <v>17</v>
      </c>
      <c r="B72" s="20" t="s">
        <v>77</v>
      </c>
      <c r="C72" s="37" t="s">
        <v>138</v>
      </c>
      <c r="D72" s="20">
        <v>8</v>
      </c>
      <c r="E72" s="20">
        <v>8</v>
      </c>
      <c r="F72" s="2">
        <f t="shared" si="0"/>
        <v>0</v>
      </c>
      <c r="G72" s="22"/>
    </row>
    <row r="73" spans="1:8" x14ac:dyDescent="0.25">
      <c r="A73" s="20">
        <v>17</v>
      </c>
      <c r="B73" s="20" t="s">
        <v>77</v>
      </c>
      <c r="C73" s="37" t="s">
        <v>551</v>
      </c>
      <c r="D73" s="20">
        <v>68</v>
      </c>
      <c r="E73" s="20">
        <v>60</v>
      </c>
      <c r="F73" s="2">
        <f t="shared" si="0"/>
        <v>8</v>
      </c>
      <c r="G73" s="22" t="s">
        <v>638</v>
      </c>
    </row>
    <row r="74" spans="1:8" x14ac:dyDescent="0.25">
      <c r="A74" s="20">
        <v>17</v>
      </c>
      <c r="B74" s="20" t="s">
        <v>77</v>
      </c>
      <c r="C74" s="37" t="s">
        <v>1008</v>
      </c>
      <c r="D74" s="20">
        <v>4</v>
      </c>
      <c r="E74" s="20"/>
      <c r="F74" s="2">
        <f t="shared" si="0"/>
        <v>4</v>
      </c>
      <c r="G74" s="22" t="s">
        <v>1009</v>
      </c>
    </row>
    <row r="75" spans="1:8" x14ac:dyDescent="0.25">
      <c r="A75" s="20">
        <v>17</v>
      </c>
      <c r="B75" s="20" t="s">
        <v>77</v>
      </c>
      <c r="C75" s="37" t="s">
        <v>552</v>
      </c>
      <c r="D75" s="20">
        <v>8</v>
      </c>
      <c r="E75" s="20">
        <v>8</v>
      </c>
      <c r="F75" s="2">
        <f t="shared" si="0"/>
        <v>0</v>
      </c>
      <c r="G75" s="22" t="s">
        <v>159</v>
      </c>
    </row>
    <row r="76" spans="1:8" x14ac:dyDescent="0.25">
      <c r="A76" s="20">
        <v>17</v>
      </c>
      <c r="B76" s="20" t="s">
        <v>77</v>
      </c>
      <c r="C76" s="37" t="s">
        <v>1071</v>
      </c>
      <c r="D76" s="20">
        <v>16</v>
      </c>
      <c r="E76" s="20">
        <v>4</v>
      </c>
      <c r="F76" s="2">
        <f t="shared" si="0"/>
        <v>12</v>
      </c>
      <c r="G76" s="22"/>
    </row>
    <row r="77" spans="1:8" x14ac:dyDescent="0.25">
      <c r="A77" s="71">
        <v>2</v>
      </c>
      <c r="B77" s="71" t="s">
        <v>112</v>
      </c>
      <c r="C77" s="72"/>
      <c r="D77" s="71"/>
      <c r="E77" s="71"/>
      <c r="F77" s="73"/>
      <c r="G77" s="72"/>
    </row>
    <row r="78" spans="1:8" x14ac:dyDescent="0.25">
      <c r="A78" s="20">
        <v>17</v>
      </c>
      <c r="B78" s="20" t="s">
        <v>112</v>
      </c>
      <c r="C78" s="37" t="s">
        <v>423</v>
      </c>
      <c r="D78" s="20">
        <v>6</v>
      </c>
      <c r="E78" s="20">
        <v>6</v>
      </c>
      <c r="F78" s="2">
        <f t="shared" si="0"/>
        <v>0</v>
      </c>
      <c r="G78" s="22" t="s">
        <v>159</v>
      </c>
    </row>
    <row r="79" spans="1:8" x14ac:dyDescent="0.25">
      <c r="A79" s="20">
        <v>17</v>
      </c>
      <c r="B79" s="20" t="s">
        <v>112</v>
      </c>
      <c r="C79" s="37" t="s">
        <v>980</v>
      </c>
      <c r="D79" s="20">
        <v>22</v>
      </c>
      <c r="E79" s="20">
        <v>16</v>
      </c>
      <c r="F79" s="2">
        <f t="shared" si="0"/>
        <v>6</v>
      </c>
      <c r="G79" s="22"/>
    </row>
    <row r="80" spans="1:8" x14ac:dyDescent="0.25">
      <c r="A80" s="20">
        <v>17</v>
      </c>
      <c r="B80" s="20" t="s">
        <v>112</v>
      </c>
      <c r="C80" s="37" t="s">
        <v>616</v>
      </c>
      <c r="D80" s="20">
        <v>16</v>
      </c>
      <c r="E80" s="20">
        <v>12</v>
      </c>
      <c r="F80" s="2">
        <f t="shared" si="0"/>
        <v>4</v>
      </c>
      <c r="G80" s="22" t="s">
        <v>1001</v>
      </c>
    </row>
    <row r="81" spans="1:7" x14ac:dyDescent="0.25">
      <c r="A81" s="20">
        <v>17</v>
      </c>
      <c r="B81" s="20" t="s">
        <v>112</v>
      </c>
      <c r="C81" s="37" t="s">
        <v>426</v>
      </c>
      <c r="D81" s="20">
        <v>10</v>
      </c>
      <c r="E81" s="20">
        <v>4</v>
      </c>
      <c r="F81" s="2">
        <f t="shared" si="0"/>
        <v>6</v>
      </c>
      <c r="G81" s="22" t="s">
        <v>1000</v>
      </c>
    </row>
    <row r="82" spans="1:7" x14ac:dyDescent="0.25">
      <c r="A82" s="20">
        <v>17</v>
      </c>
      <c r="B82" s="20" t="s">
        <v>112</v>
      </c>
      <c r="C82" s="37" t="s">
        <v>69</v>
      </c>
      <c r="D82" s="20">
        <v>4</v>
      </c>
      <c r="E82" s="20"/>
      <c r="F82" s="2">
        <f t="shared" si="0"/>
        <v>4</v>
      </c>
      <c r="G82" s="22" t="s">
        <v>607</v>
      </c>
    </row>
    <row r="83" spans="1:7" x14ac:dyDescent="0.25">
      <c r="A83" s="20">
        <v>17</v>
      </c>
      <c r="B83" s="20" t="s">
        <v>31</v>
      </c>
      <c r="C83" s="37" t="s">
        <v>979</v>
      </c>
      <c r="D83" s="20">
        <v>6</v>
      </c>
      <c r="E83" s="20">
        <v>4</v>
      </c>
      <c r="F83" s="2">
        <f t="shared" si="0"/>
        <v>2</v>
      </c>
      <c r="G83" s="22"/>
    </row>
    <row r="84" spans="1:7" x14ac:dyDescent="0.25">
      <c r="A84" s="20">
        <v>17</v>
      </c>
      <c r="B84" s="20" t="s">
        <v>31</v>
      </c>
      <c r="C84" s="37" t="s">
        <v>532</v>
      </c>
      <c r="D84" s="20">
        <v>4</v>
      </c>
      <c r="E84" s="20"/>
      <c r="F84" s="2">
        <f t="shared" si="0"/>
        <v>4</v>
      </c>
      <c r="G84" s="22"/>
    </row>
    <row r="85" spans="1:7" x14ac:dyDescent="0.25">
      <c r="A85" s="20">
        <v>17</v>
      </c>
      <c r="B85" s="20" t="s">
        <v>31</v>
      </c>
      <c r="C85" s="37" t="s">
        <v>479</v>
      </c>
      <c r="D85" s="20">
        <v>18</v>
      </c>
      <c r="E85" s="20">
        <v>16</v>
      </c>
      <c r="F85" s="2">
        <f t="shared" si="0"/>
        <v>2</v>
      </c>
      <c r="G85" s="22"/>
    </row>
    <row r="86" spans="1:7" x14ac:dyDescent="0.25">
      <c r="A86" s="20">
        <v>17</v>
      </c>
      <c r="B86" s="20" t="s">
        <v>31</v>
      </c>
      <c r="C86" s="37" t="s">
        <v>40</v>
      </c>
      <c r="D86" s="20">
        <v>4</v>
      </c>
      <c r="E86" s="20"/>
      <c r="F86" s="2">
        <f t="shared" si="0"/>
        <v>4</v>
      </c>
      <c r="G86" s="22"/>
    </row>
    <row r="87" spans="1:7" x14ac:dyDescent="0.25">
      <c r="A87" s="20">
        <v>17</v>
      </c>
      <c r="B87" s="20" t="s">
        <v>31</v>
      </c>
      <c r="C87" s="37" t="s">
        <v>426</v>
      </c>
      <c r="D87" s="20">
        <v>20</v>
      </c>
      <c r="E87" s="20">
        <v>16</v>
      </c>
      <c r="F87" s="2">
        <f t="shared" si="0"/>
        <v>4</v>
      </c>
      <c r="G87" s="22" t="s">
        <v>607</v>
      </c>
    </row>
    <row r="88" spans="1:7" x14ac:dyDescent="0.25">
      <c r="A88" s="71"/>
      <c r="B88" s="71" t="s">
        <v>19</v>
      </c>
      <c r="C88" s="72"/>
      <c r="D88" s="71"/>
      <c r="E88" s="71"/>
      <c r="F88" s="73"/>
      <c r="G88" s="72"/>
    </row>
    <row r="89" spans="1:7" x14ac:dyDescent="0.25">
      <c r="A89" s="20">
        <v>17</v>
      </c>
      <c r="B89" s="20" t="s">
        <v>19</v>
      </c>
      <c r="C89" s="37" t="s">
        <v>617</v>
      </c>
      <c r="D89" s="20">
        <v>12</v>
      </c>
      <c r="E89" s="20">
        <v>12</v>
      </c>
      <c r="F89" s="2">
        <f t="shared" si="0"/>
        <v>0</v>
      </c>
      <c r="G89" s="22" t="s">
        <v>988</v>
      </c>
    </row>
    <row r="90" spans="1:7" x14ac:dyDescent="0.25">
      <c r="A90" s="20">
        <v>17</v>
      </c>
      <c r="B90" s="20" t="s">
        <v>19</v>
      </c>
      <c r="C90" s="37" t="s">
        <v>417</v>
      </c>
      <c r="D90" s="20">
        <v>36</v>
      </c>
      <c r="E90" s="20">
        <v>30</v>
      </c>
      <c r="F90" s="2">
        <f t="shared" si="0"/>
        <v>6</v>
      </c>
      <c r="G90" s="22" t="s">
        <v>982</v>
      </c>
    </row>
    <row r="91" spans="1:7" ht="14.25" customHeight="1" x14ac:dyDescent="0.25">
      <c r="A91" s="20">
        <v>17</v>
      </c>
      <c r="B91" s="20" t="s">
        <v>19</v>
      </c>
      <c r="C91" s="37" t="s">
        <v>22</v>
      </c>
      <c r="D91" s="20">
        <v>34</v>
      </c>
      <c r="E91" s="20">
        <v>30</v>
      </c>
      <c r="F91" s="2">
        <f t="shared" si="0"/>
        <v>4</v>
      </c>
      <c r="G91" s="22" t="s">
        <v>1014</v>
      </c>
    </row>
    <row r="92" spans="1:7" ht="14.25" customHeight="1" x14ac:dyDescent="0.25">
      <c r="A92" s="20">
        <v>17</v>
      </c>
      <c r="B92" s="20" t="s">
        <v>19</v>
      </c>
      <c r="C92" s="37" t="s">
        <v>69</v>
      </c>
      <c r="D92" s="20">
        <v>2</v>
      </c>
      <c r="E92" s="20"/>
      <c r="F92" s="2">
        <f t="shared" si="0"/>
        <v>2</v>
      </c>
      <c r="G92" s="22" t="s">
        <v>607</v>
      </c>
    </row>
    <row r="93" spans="1:7" x14ac:dyDescent="0.25">
      <c r="A93" s="20">
        <v>17</v>
      </c>
      <c r="B93" s="20" t="s">
        <v>19</v>
      </c>
      <c r="C93" s="37" t="s">
        <v>426</v>
      </c>
      <c r="D93" s="20">
        <v>12</v>
      </c>
      <c r="E93" s="20">
        <v>12</v>
      </c>
      <c r="F93" s="2">
        <f t="shared" si="0"/>
        <v>0</v>
      </c>
      <c r="G93" s="22" t="s">
        <v>159</v>
      </c>
    </row>
    <row r="94" spans="1:7" x14ac:dyDescent="0.25">
      <c r="A94" s="20">
        <v>17</v>
      </c>
      <c r="B94" s="20" t="s">
        <v>19</v>
      </c>
      <c r="C94" s="37" t="s">
        <v>920</v>
      </c>
      <c r="D94" s="20">
        <v>4</v>
      </c>
      <c r="E94" s="20"/>
      <c r="F94" s="2">
        <f t="shared" si="0"/>
        <v>4</v>
      </c>
      <c r="G94" s="22">
        <v>2021</v>
      </c>
    </row>
    <row r="95" spans="1:7" x14ac:dyDescent="0.25">
      <c r="A95" s="20">
        <v>17</v>
      </c>
      <c r="B95" s="20" t="s">
        <v>19</v>
      </c>
      <c r="C95" s="37" t="s">
        <v>998</v>
      </c>
      <c r="D95" s="20">
        <v>2</v>
      </c>
      <c r="E95" s="20"/>
      <c r="F95" s="2">
        <f t="shared" si="0"/>
        <v>2</v>
      </c>
      <c r="G95" s="22" t="s">
        <v>607</v>
      </c>
    </row>
    <row r="96" spans="1:7" x14ac:dyDescent="0.25">
      <c r="A96" s="20">
        <v>17</v>
      </c>
      <c r="B96" s="20" t="s">
        <v>19</v>
      </c>
      <c r="C96" s="37" t="s">
        <v>268</v>
      </c>
      <c r="D96" s="20">
        <v>10</v>
      </c>
      <c r="E96" s="20">
        <v>10</v>
      </c>
      <c r="F96" s="2">
        <f t="shared" si="0"/>
        <v>0</v>
      </c>
      <c r="G96" s="22"/>
    </row>
    <row r="97" spans="1:14" x14ac:dyDescent="0.25">
      <c r="A97" s="20">
        <v>17</v>
      </c>
      <c r="B97" s="20" t="s">
        <v>19</v>
      </c>
      <c r="C97" s="37" t="s">
        <v>359</v>
      </c>
      <c r="D97" s="20">
        <v>8</v>
      </c>
      <c r="E97" s="20"/>
      <c r="F97" s="2">
        <f t="shared" si="0"/>
        <v>8</v>
      </c>
      <c r="G97" s="22"/>
    </row>
    <row r="98" spans="1:14" x14ac:dyDescent="0.25">
      <c r="A98" s="20">
        <v>17</v>
      </c>
      <c r="B98" s="20" t="s">
        <v>19</v>
      </c>
      <c r="C98" s="37" t="s">
        <v>880</v>
      </c>
      <c r="D98" s="20">
        <v>16</v>
      </c>
      <c r="E98" s="20">
        <v>16</v>
      </c>
      <c r="F98" s="2">
        <f t="shared" si="0"/>
        <v>0</v>
      </c>
      <c r="G98" s="22" t="s">
        <v>354</v>
      </c>
    </row>
    <row r="99" spans="1:14" x14ac:dyDescent="0.25">
      <c r="A99" s="20">
        <v>17</v>
      </c>
      <c r="B99" s="20" t="s">
        <v>19</v>
      </c>
      <c r="C99" s="37" t="s">
        <v>1071</v>
      </c>
      <c r="D99" s="20">
        <v>20</v>
      </c>
      <c r="E99" s="20"/>
      <c r="F99" s="2">
        <f t="shared" si="0"/>
        <v>20</v>
      </c>
      <c r="G99" s="22"/>
    </row>
    <row r="100" spans="1:14" s="64" customFormat="1" x14ac:dyDescent="0.25">
      <c r="A100" s="65"/>
      <c r="B100" s="65"/>
      <c r="C100" s="66">
        <v>22</v>
      </c>
      <c r="D100" s="65"/>
      <c r="E100" s="65"/>
      <c r="F100" s="67"/>
      <c r="G100" s="66"/>
      <c r="H100" s="161"/>
      <c r="I100" s="161"/>
      <c r="J100" s="161"/>
      <c r="K100" s="161"/>
      <c r="L100" s="161"/>
      <c r="M100" s="161"/>
      <c r="N100" s="161"/>
    </row>
    <row r="101" spans="1:14" x14ac:dyDescent="0.25">
      <c r="A101" s="20">
        <v>17</v>
      </c>
      <c r="B101" s="20" t="s">
        <v>9</v>
      </c>
      <c r="C101" s="37" t="s">
        <v>560</v>
      </c>
      <c r="D101" s="20">
        <v>26</v>
      </c>
      <c r="E101" s="20">
        <v>18</v>
      </c>
      <c r="F101" s="2">
        <f t="shared" si="0"/>
        <v>8</v>
      </c>
      <c r="G101" s="22" t="s">
        <v>1074</v>
      </c>
    </row>
    <row r="102" spans="1:14" x14ac:dyDescent="0.25">
      <c r="A102" s="20">
        <v>17</v>
      </c>
      <c r="B102" s="20" t="s">
        <v>9</v>
      </c>
      <c r="C102" s="37" t="s">
        <v>933</v>
      </c>
      <c r="D102" s="20">
        <v>4</v>
      </c>
      <c r="E102" s="20"/>
      <c r="F102" s="2">
        <f t="shared" si="0"/>
        <v>4</v>
      </c>
      <c r="G102" s="22"/>
    </row>
    <row r="103" spans="1:14" x14ac:dyDescent="0.25">
      <c r="A103" s="20">
        <v>17</v>
      </c>
      <c r="B103" s="20" t="s">
        <v>9</v>
      </c>
      <c r="C103" s="37" t="s">
        <v>521</v>
      </c>
      <c r="D103" s="20">
        <v>40</v>
      </c>
      <c r="E103" s="20">
        <v>32</v>
      </c>
      <c r="F103" s="2">
        <f t="shared" si="0"/>
        <v>8</v>
      </c>
      <c r="G103" s="22" t="s">
        <v>846</v>
      </c>
    </row>
    <row r="104" spans="1:14" x14ac:dyDescent="0.25">
      <c r="A104" s="20">
        <v>17</v>
      </c>
      <c r="B104" s="20" t="s">
        <v>9</v>
      </c>
      <c r="C104" s="37" t="s">
        <v>434</v>
      </c>
      <c r="D104" s="20">
        <v>118</v>
      </c>
      <c r="E104" s="20">
        <v>114</v>
      </c>
      <c r="F104" s="2">
        <f t="shared" si="0"/>
        <v>4</v>
      </c>
      <c r="G104" s="22" t="s">
        <v>782</v>
      </c>
    </row>
    <row r="105" spans="1:14" x14ac:dyDescent="0.25">
      <c r="A105" s="20">
        <v>17</v>
      </c>
      <c r="B105" s="20" t="s">
        <v>9</v>
      </c>
      <c r="C105" s="37" t="s">
        <v>837</v>
      </c>
      <c r="D105" s="20">
        <v>8</v>
      </c>
      <c r="E105" s="20">
        <v>4</v>
      </c>
      <c r="F105" s="2">
        <f t="shared" si="0"/>
        <v>4</v>
      </c>
      <c r="G105" s="22" t="s">
        <v>159</v>
      </c>
    </row>
    <row r="106" spans="1:14" x14ac:dyDescent="0.25">
      <c r="A106" s="20">
        <v>17</v>
      </c>
      <c r="B106" s="20" t="s">
        <v>9</v>
      </c>
      <c r="C106" s="37" t="s">
        <v>22</v>
      </c>
      <c r="D106" s="20">
        <v>108</v>
      </c>
      <c r="E106" s="20">
        <v>92</v>
      </c>
      <c r="F106" s="2">
        <f t="shared" si="0"/>
        <v>16</v>
      </c>
      <c r="G106" s="22" t="s">
        <v>860</v>
      </c>
    </row>
    <row r="107" spans="1:14" x14ac:dyDescent="0.25">
      <c r="A107" s="20">
        <v>17</v>
      </c>
      <c r="B107" s="20" t="s">
        <v>9</v>
      </c>
      <c r="C107" s="37" t="s">
        <v>706</v>
      </c>
      <c r="D107" s="20">
        <v>6</v>
      </c>
      <c r="E107" s="20">
        <v>6</v>
      </c>
      <c r="F107" s="2">
        <f t="shared" si="0"/>
        <v>0</v>
      </c>
      <c r="G107" s="22"/>
    </row>
    <row r="108" spans="1:14" x14ac:dyDescent="0.25">
      <c r="A108" s="20">
        <v>17</v>
      </c>
      <c r="B108" s="20" t="s">
        <v>9</v>
      </c>
      <c r="C108" s="37" t="s">
        <v>416</v>
      </c>
      <c r="D108" s="20">
        <v>4</v>
      </c>
      <c r="E108" s="20">
        <v>4</v>
      </c>
      <c r="F108" s="2">
        <f t="shared" si="0"/>
        <v>0</v>
      </c>
      <c r="G108" s="22" t="s">
        <v>159</v>
      </c>
    </row>
    <row r="109" spans="1:14" x14ac:dyDescent="0.25">
      <c r="A109" s="20">
        <v>17</v>
      </c>
      <c r="B109" s="20" t="s">
        <v>9</v>
      </c>
      <c r="C109" s="37" t="s">
        <v>427</v>
      </c>
      <c r="D109" s="20">
        <v>4</v>
      </c>
      <c r="E109" s="20"/>
      <c r="F109" s="2">
        <f t="shared" si="0"/>
        <v>4</v>
      </c>
      <c r="G109" s="22" t="s">
        <v>524</v>
      </c>
    </row>
    <row r="110" spans="1:14" x14ac:dyDescent="0.25">
      <c r="A110" s="20">
        <v>17</v>
      </c>
      <c r="B110" s="20" t="s">
        <v>9</v>
      </c>
      <c r="C110" s="37" t="s">
        <v>546</v>
      </c>
      <c r="D110" s="20">
        <v>4</v>
      </c>
      <c r="E110" s="20">
        <v>4</v>
      </c>
      <c r="F110" s="2">
        <f t="shared" si="0"/>
        <v>0</v>
      </c>
      <c r="G110" s="22"/>
    </row>
    <row r="111" spans="1:14" x14ac:dyDescent="0.25">
      <c r="A111" s="20">
        <v>17</v>
      </c>
      <c r="B111" s="20" t="s">
        <v>9</v>
      </c>
      <c r="C111" s="37" t="s">
        <v>359</v>
      </c>
      <c r="D111" s="20">
        <v>4</v>
      </c>
      <c r="E111" s="20"/>
      <c r="F111" s="2">
        <f t="shared" si="0"/>
        <v>4</v>
      </c>
      <c r="G111" s="22"/>
    </row>
    <row r="112" spans="1:14" x14ac:dyDescent="0.25">
      <c r="A112" s="20">
        <v>17</v>
      </c>
      <c r="B112" s="20" t="s">
        <v>9</v>
      </c>
      <c r="C112" s="37" t="s">
        <v>327</v>
      </c>
      <c r="D112" s="20">
        <v>28</v>
      </c>
      <c r="E112" s="20">
        <v>22</v>
      </c>
      <c r="F112" s="2">
        <f t="shared" si="0"/>
        <v>6</v>
      </c>
      <c r="G112" s="22" t="s">
        <v>159</v>
      </c>
    </row>
    <row r="113" spans="1:8" x14ac:dyDescent="0.25">
      <c r="A113" s="20">
        <v>17</v>
      </c>
      <c r="B113" s="20" t="s">
        <v>9</v>
      </c>
      <c r="C113" s="37" t="s">
        <v>45</v>
      </c>
      <c r="D113" s="20">
        <v>52</v>
      </c>
      <c r="E113" s="20">
        <v>46</v>
      </c>
      <c r="F113" s="2">
        <f t="shared" ref="F113:F182" si="1">D113-E113</f>
        <v>6</v>
      </c>
      <c r="G113" s="22" t="s">
        <v>788</v>
      </c>
    </row>
    <row r="114" spans="1:8" x14ac:dyDescent="0.25">
      <c r="A114" s="20">
        <v>17</v>
      </c>
      <c r="B114" s="20" t="s">
        <v>9</v>
      </c>
      <c r="C114" s="37" t="s">
        <v>433</v>
      </c>
      <c r="D114" s="20">
        <v>8</v>
      </c>
      <c r="E114" s="20">
        <v>8</v>
      </c>
      <c r="F114" s="2">
        <f t="shared" si="1"/>
        <v>0</v>
      </c>
      <c r="G114" s="22" t="s">
        <v>159</v>
      </c>
    </row>
    <row r="115" spans="1:8" x14ac:dyDescent="0.25">
      <c r="A115" s="20">
        <v>17</v>
      </c>
      <c r="B115" s="20" t="s">
        <v>9</v>
      </c>
      <c r="C115" s="37" t="s">
        <v>878</v>
      </c>
      <c r="D115" s="20">
        <v>18</v>
      </c>
      <c r="E115" s="20">
        <v>14</v>
      </c>
      <c r="F115" s="2">
        <f t="shared" si="1"/>
        <v>4</v>
      </c>
      <c r="G115" s="22" t="s">
        <v>354</v>
      </c>
    </row>
    <row r="116" spans="1:8" x14ac:dyDescent="0.25">
      <c r="A116" s="20">
        <v>17</v>
      </c>
      <c r="B116" s="20" t="s">
        <v>9</v>
      </c>
      <c r="C116" s="37" t="s">
        <v>1071</v>
      </c>
      <c r="D116" s="20">
        <v>8</v>
      </c>
      <c r="E116" s="20"/>
      <c r="F116" s="2">
        <f t="shared" si="1"/>
        <v>8</v>
      </c>
      <c r="G116" s="22"/>
    </row>
    <row r="117" spans="1:8" x14ac:dyDescent="0.25">
      <c r="A117" s="68"/>
      <c r="B117" s="68" t="s">
        <v>26</v>
      </c>
      <c r="C117" s="69"/>
      <c r="D117" s="68"/>
      <c r="E117" s="68"/>
      <c r="F117" s="70"/>
      <c r="G117" s="69"/>
    </row>
    <row r="118" spans="1:8" x14ac:dyDescent="0.25">
      <c r="A118" s="20">
        <v>17</v>
      </c>
      <c r="B118" s="20" t="s">
        <v>26</v>
      </c>
      <c r="C118" s="37" t="s">
        <v>168</v>
      </c>
      <c r="D118" s="20">
        <v>112</v>
      </c>
      <c r="E118" s="20">
        <v>110</v>
      </c>
      <c r="F118" s="2">
        <f t="shared" si="1"/>
        <v>2</v>
      </c>
      <c r="G118" s="22"/>
    </row>
    <row r="119" spans="1:8" x14ac:dyDescent="0.25">
      <c r="A119" s="20">
        <v>17</v>
      </c>
      <c r="B119" s="20" t="s">
        <v>26</v>
      </c>
      <c r="C119" s="37" t="s">
        <v>335</v>
      </c>
      <c r="D119" s="20">
        <v>2</v>
      </c>
      <c r="E119" s="20">
        <v>2</v>
      </c>
      <c r="F119" s="2">
        <f t="shared" si="1"/>
        <v>0</v>
      </c>
      <c r="G119" s="22" t="s">
        <v>28</v>
      </c>
    </row>
    <row r="120" spans="1:8" x14ac:dyDescent="0.25">
      <c r="A120" s="20">
        <v>17</v>
      </c>
      <c r="B120" s="20" t="s">
        <v>26</v>
      </c>
      <c r="C120" s="37" t="s">
        <v>327</v>
      </c>
      <c r="D120" s="20">
        <v>30</v>
      </c>
      <c r="E120" s="20">
        <v>28</v>
      </c>
      <c r="F120" s="2">
        <f t="shared" si="1"/>
        <v>2</v>
      </c>
      <c r="G120" s="22" t="s">
        <v>179</v>
      </c>
    </row>
    <row r="121" spans="1:8" x14ac:dyDescent="0.25">
      <c r="A121" s="20">
        <v>17</v>
      </c>
      <c r="B121" s="20" t="s">
        <v>26</v>
      </c>
      <c r="C121" s="37" t="s">
        <v>546</v>
      </c>
      <c r="D121" s="20">
        <v>8</v>
      </c>
      <c r="E121" s="20">
        <v>6</v>
      </c>
      <c r="F121" s="2">
        <f t="shared" si="1"/>
        <v>2</v>
      </c>
      <c r="G121" s="22" t="s">
        <v>638</v>
      </c>
    </row>
    <row r="122" spans="1:8" x14ac:dyDescent="0.25">
      <c r="A122" s="20">
        <v>17</v>
      </c>
      <c r="B122" s="20" t="s">
        <v>26</v>
      </c>
      <c r="C122" s="37" t="s">
        <v>461</v>
      </c>
      <c r="D122" s="20">
        <v>8</v>
      </c>
      <c r="E122" s="20">
        <v>6</v>
      </c>
      <c r="F122" s="2">
        <f t="shared" si="1"/>
        <v>2</v>
      </c>
      <c r="G122" s="22"/>
    </row>
    <row r="123" spans="1:8" x14ac:dyDescent="0.25">
      <c r="A123" s="20">
        <v>17</v>
      </c>
      <c r="B123" s="20" t="s">
        <v>26</v>
      </c>
      <c r="C123" s="37" t="s">
        <v>728</v>
      </c>
      <c r="D123" s="20">
        <v>4</v>
      </c>
      <c r="E123" s="20">
        <v>4</v>
      </c>
      <c r="F123" s="2">
        <f t="shared" si="1"/>
        <v>0</v>
      </c>
      <c r="G123" s="22" t="s">
        <v>631</v>
      </c>
    </row>
    <row r="124" spans="1:8" x14ac:dyDescent="0.25">
      <c r="A124" s="20">
        <v>17</v>
      </c>
      <c r="B124" s="20" t="s">
        <v>26</v>
      </c>
      <c r="C124" s="37" t="s">
        <v>713</v>
      </c>
      <c r="D124" s="20">
        <v>50</v>
      </c>
      <c r="E124" s="20">
        <v>48</v>
      </c>
      <c r="F124" s="2">
        <f t="shared" si="1"/>
        <v>2</v>
      </c>
      <c r="G124" s="22"/>
      <c r="H124" t="s">
        <v>305</v>
      </c>
    </row>
    <row r="125" spans="1:8" x14ac:dyDescent="0.25">
      <c r="A125" s="20">
        <v>17</v>
      </c>
      <c r="B125" s="20" t="s">
        <v>26</v>
      </c>
      <c r="C125" s="37" t="s">
        <v>652</v>
      </c>
      <c r="D125" s="20">
        <v>8</v>
      </c>
      <c r="E125" s="20">
        <v>8</v>
      </c>
      <c r="F125" s="2">
        <f t="shared" si="1"/>
        <v>0</v>
      </c>
      <c r="G125" s="22" t="s">
        <v>225</v>
      </c>
    </row>
    <row r="126" spans="1:8" x14ac:dyDescent="0.25">
      <c r="A126" s="20">
        <v>17</v>
      </c>
      <c r="B126" s="20" t="s">
        <v>26</v>
      </c>
      <c r="C126" s="37" t="s">
        <v>22</v>
      </c>
      <c r="D126" s="20">
        <v>160</v>
      </c>
      <c r="E126" s="20">
        <v>136</v>
      </c>
      <c r="F126" s="2">
        <f t="shared" si="1"/>
        <v>24</v>
      </c>
      <c r="G126" s="22" t="s">
        <v>1022</v>
      </c>
      <c r="H126" t="s">
        <v>305</v>
      </c>
    </row>
    <row r="127" spans="1:8" x14ac:dyDescent="0.25">
      <c r="A127" s="20">
        <v>17</v>
      </c>
      <c r="B127" s="20" t="s">
        <v>26</v>
      </c>
      <c r="C127" s="37" t="s">
        <v>898</v>
      </c>
      <c r="D127" s="20">
        <v>2</v>
      </c>
      <c r="E127" s="20"/>
      <c r="F127" s="2">
        <f t="shared" si="1"/>
        <v>2</v>
      </c>
      <c r="G127" s="22"/>
    </row>
    <row r="128" spans="1:8" x14ac:dyDescent="0.25">
      <c r="A128" s="20">
        <v>17</v>
      </c>
      <c r="B128" s="20" t="s">
        <v>26</v>
      </c>
      <c r="C128" s="37" t="s">
        <v>796</v>
      </c>
      <c r="D128" s="20">
        <v>20</v>
      </c>
      <c r="E128" s="20">
        <v>16</v>
      </c>
      <c r="F128" s="2">
        <f t="shared" si="1"/>
        <v>4</v>
      </c>
      <c r="G128" s="22" t="s">
        <v>787</v>
      </c>
    </row>
    <row r="129" spans="1:10" x14ac:dyDescent="0.25">
      <c r="A129" s="20">
        <v>17</v>
      </c>
      <c r="B129" s="20" t="s">
        <v>26</v>
      </c>
      <c r="C129" s="37" t="s">
        <v>252</v>
      </c>
      <c r="D129" s="20">
        <v>12</v>
      </c>
      <c r="E129" s="20">
        <v>10</v>
      </c>
      <c r="F129" s="2">
        <f t="shared" si="1"/>
        <v>2</v>
      </c>
      <c r="G129" s="22"/>
    </row>
    <row r="130" spans="1:10" x14ac:dyDescent="0.25">
      <c r="A130" s="20">
        <v>17</v>
      </c>
      <c r="B130" s="20" t="s">
        <v>26</v>
      </c>
      <c r="C130" s="37" t="s">
        <v>580</v>
      </c>
      <c r="D130" s="20">
        <v>24</v>
      </c>
      <c r="E130" s="20">
        <v>14</v>
      </c>
      <c r="F130" s="2">
        <f t="shared" ref="F130:F133" si="2">D130-E130</f>
        <v>10</v>
      </c>
      <c r="G130" s="22" t="s">
        <v>207</v>
      </c>
    </row>
    <row r="131" spans="1:10" x14ac:dyDescent="0.25">
      <c r="A131" s="20">
        <v>17</v>
      </c>
      <c r="B131" s="20" t="s">
        <v>26</v>
      </c>
      <c r="C131" s="37" t="s">
        <v>266</v>
      </c>
      <c r="D131" s="20">
        <v>4</v>
      </c>
      <c r="E131" s="20">
        <v>4</v>
      </c>
      <c r="F131" s="2">
        <f t="shared" si="2"/>
        <v>0</v>
      </c>
      <c r="G131" s="22"/>
    </row>
    <row r="132" spans="1:10" x14ac:dyDescent="0.25">
      <c r="A132" s="20">
        <v>17</v>
      </c>
      <c r="B132" s="20" t="s">
        <v>26</v>
      </c>
      <c r="C132" s="37" t="s">
        <v>111</v>
      </c>
      <c r="D132" s="20">
        <v>24</v>
      </c>
      <c r="E132" s="20">
        <v>18</v>
      </c>
      <c r="F132" s="2">
        <f t="shared" si="2"/>
        <v>6</v>
      </c>
      <c r="G132" s="22"/>
    </row>
    <row r="133" spans="1:10" x14ac:dyDescent="0.25">
      <c r="A133" s="20">
        <v>17</v>
      </c>
      <c r="B133" s="20" t="s">
        <v>26</v>
      </c>
      <c r="C133" s="37" t="s">
        <v>1071</v>
      </c>
      <c r="D133" s="20">
        <v>8</v>
      </c>
      <c r="E133" s="20"/>
      <c r="F133" s="2">
        <f t="shared" si="2"/>
        <v>8</v>
      </c>
      <c r="G133" s="22"/>
    </row>
    <row r="134" spans="1:10" x14ac:dyDescent="0.25">
      <c r="A134" s="71"/>
      <c r="B134" s="71" t="s">
        <v>30</v>
      </c>
      <c r="C134" s="72"/>
      <c r="D134" s="71"/>
      <c r="E134" s="71"/>
      <c r="F134" s="73"/>
      <c r="G134" s="72"/>
    </row>
    <row r="135" spans="1:10" x14ac:dyDescent="0.25">
      <c r="A135" s="20">
        <v>17</v>
      </c>
      <c r="B135" s="20" t="s">
        <v>30</v>
      </c>
      <c r="C135" s="37" t="s">
        <v>303</v>
      </c>
      <c r="D135" s="20">
        <v>20</v>
      </c>
      <c r="E135" s="20">
        <v>18</v>
      </c>
      <c r="F135" s="2">
        <f t="shared" si="1"/>
        <v>2</v>
      </c>
      <c r="G135" s="22" t="s">
        <v>607</v>
      </c>
    </row>
    <row r="136" spans="1:10" x14ac:dyDescent="0.25">
      <c r="A136" s="20">
        <v>17</v>
      </c>
      <c r="B136" s="20" t="s">
        <v>30</v>
      </c>
      <c r="C136" s="37" t="s">
        <v>452</v>
      </c>
      <c r="D136" s="20">
        <v>4</v>
      </c>
      <c r="E136" s="20">
        <v>4</v>
      </c>
      <c r="F136" s="2">
        <f t="shared" si="1"/>
        <v>0</v>
      </c>
      <c r="G136" s="22"/>
    </row>
    <row r="137" spans="1:10" x14ac:dyDescent="0.25">
      <c r="A137" s="20">
        <v>17</v>
      </c>
      <c r="B137" s="20" t="s">
        <v>30</v>
      </c>
      <c r="C137" s="37" t="s">
        <v>540</v>
      </c>
      <c r="D137" s="20">
        <v>4</v>
      </c>
      <c r="E137" s="20">
        <v>4</v>
      </c>
      <c r="F137" s="2">
        <f t="shared" si="1"/>
        <v>0</v>
      </c>
      <c r="G137" s="22" t="s">
        <v>159</v>
      </c>
    </row>
    <row r="138" spans="1:10" x14ac:dyDescent="0.25">
      <c r="A138" s="20">
        <v>17</v>
      </c>
      <c r="B138" s="20" t="s">
        <v>30</v>
      </c>
      <c r="C138" s="37" t="s">
        <v>22</v>
      </c>
      <c r="D138" s="20">
        <v>16</v>
      </c>
      <c r="E138" s="20">
        <v>16</v>
      </c>
      <c r="F138" s="2">
        <f t="shared" si="1"/>
        <v>0</v>
      </c>
      <c r="G138" s="22" t="s">
        <v>983</v>
      </c>
      <c r="J138" t="s">
        <v>207</v>
      </c>
    </row>
    <row r="139" spans="1:10" x14ac:dyDescent="0.25">
      <c r="A139" s="20">
        <v>17</v>
      </c>
      <c r="B139" s="20" t="s">
        <v>30</v>
      </c>
      <c r="C139" s="37" t="s">
        <v>402</v>
      </c>
      <c r="D139" s="20">
        <v>16</v>
      </c>
      <c r="E139" s="20">
        <v>16</v>
      </c>
      <c r="F139" s="2">
        <f>D139-E139</f>
        <v>0</v>
      </c>
      <c r="G139" s="22" t="s">
        <v>729</v>
      </c>
    </row>
    <row r="140" spans="1:10" x14ac:dyDescent="0.25">
      <c r="A140" s="20">
        <v>17</v>
      </c>
      <c r="B140" s="20" t="s">
        <v>30</v>
      </c>
      <c r="C140" s="37" t="s">
        <v>111</v>
      </c>
      <c r="D140" s="20">
        <v>4</v>
      </c>
      <c r="E140" s="20">
        <v>2</v>
      </c>
      <c r="F140" s="2">
        <f>D140-E140</f>
        <v>2</v>
      </c>
      <c r="G140" s="22" t="s">
        <v>896</v>
      </c>
    </row>
    <row r="141" spans="1:10" x14ac:dyDescent="0.25">
      <c r="A141" s="20">
        <v>17</v>
      </c>
      <c r="B141" s="20" t="s">
        <v>30</v>
      </c>
      <c r="C141" s="37" t="s">
        <v>897</v>
      </c>
      <c r="D141" s="20">
        <v>20</v>
      </c>
      <c r="E141" s="20">
        <v>16</v>
      </c>
      <c r="F141" s="2">
        <f>D141-E141</f>
        <v>4</v>
      </c>
      <c r="G141" s="22" t="s">
        <v>1089</v>
      </c>
    </row>
    <row r="142" spans="1:10" x14ac:dyDescent="0.25">
      <c r="A142" s="71"/>
      <c r="B142" s="71" t="s">
        <v>16</v>
      </c>
      <c r="C142" s="72"/>
      <c r="D142" s="71"/>
      <c r="E142" s="71"/>
      <c r="F142" s="73"/>
      <c r="G142" s="72"/>
    </row>
    <row r="143" spans="1:10" x14ac:dyDescent="0.25">
      <c r="A143" s="20">
        <v>17</v>
      </c>
      <c r="B143" s="20" t="s">
        <v>16</v>
      </c>
      <c r="C143" s="37" t="s">
        <v>343</v>
      </c>
      <c r="D143" s="20">
        <v>174</v>
      </c>
      <c r="E143" s="20">
        <v>174</v>
      </c>
      <c r="F143" s="2">
        <f t="shared" ref="F143:F148" si="3">D143-E143</f>
        <v>0</v>
      </c>
      <c r="G143" s="22" t="s">
        <v>638</v>
      </c>
    </row>
    <row r="144" spans="1:10" x14ac:dyDescent="0.25">
      <c r="A144" s="20">
        <v>17</v>
      </c>
      <c r="B144" s="20" t="s">
        <v>16</v>
      </c>
      <c r="C144" s="37" t="s">
        <v>515</v>
      </c>
      <c r="D144" s="20">
        <v>12</v>
      </c>
      <c r="E144" s="20">
        <v>12</v>
      </c>
      <c r="F144" s="2">
        <f t="shared" si="3"/>
        <v>0</v>
      </c>
      <c r="G144" s="22" t="s">
        <v>159</v>
      </c>
    </row>
    <row r="145" spans="1:7" x14ac:dyDescent="0.25">
      <c r="A145" s="20">
        <v>17</v>
      </c>
      <c r="B145" s="20" t="s">
        <v>16</v>
      </c>
      <c r="C145" s="37" t="s">
        <v>839</v>
      </c>
      <c r="D145" s="20">
        <v>2</v>
      </c>
      <c r="E145" s="20">
        <v>2</v>
      </c>
      <c r="F145" s="2">
        <f t="shared" si="3"/>
        <v>0</v>
      </c>
      <c r="G145" s="22"/>
    </row>
    <row r="146" spans="1:7" x14ac:dyDescent="0.25">
      <c r="A146" s="20">
        <v>17</v>
      </c>
      <c r="B146" s="20" t="s">
        <v>16</v>
      </c>
      <c r="C146" s="37" t="s">
        <v>803</v>
      </c>
      <c r="D146" s="20">
        <v>62</v>
      </c>
      <c r="E146" s="20">
        <v>62</v>
      </c>
      <c r="F146" s="2">
        <f t="shared" si="3"/>
        <v>0</v>
      </c>
      <c r="G146" s="22" t="s">
        <v>377</v>
      </c>
    </row>
    <row r="147" spans="1:7" x14ac:dyDescent="0.25">
      <c r="A147" s="20">
        <v>17</v>
      </c>
      <c r="B147" s="20" t="s">
        <v>16</v>
      </c>
      <c r="C147" s="37" t="s">
        <v>804</v>
      </c>
      <c r="D147" s="20">
        <v>12</v>
      </c>
      <c r="E147" s="20">
        <v>12</v>
      </c>
      <c r="F147" s="2">
        <f t="shared" si="3"/>
        <v>0</v>
      </c>
      <c r="G147" s="22" t="s">
        <v>377</v>
      </c>
    </row>
    <row r="148" spans="1:7" x14ac:dyDescent="0.25">
      <c r="A148" s="20">
        <v>17</v>
      </c>
      <c r="B148" s="20" t="s">
        <v>16</v>
      </c>
      <c r="C148" s="37" t="s">
        <v>363</v>
      </c>
      <c r="D148" s="20">
        <v>26</v>
      </c>
      <c r="E148" s="20">
        <v>26</v>
      </c>
      <c r="F148" s="2">
        <f t="shared" si="3"/>
        <v>0</v>
      </c>
      <c r="G148" s="22"/>
    </row>
    <row r="149" spans="1:7" x14ac:dyDescent="0.25">
      <c r="A149" s="71"/>
      <c r="B149" s="71" t="s">
        <v>21</v>
      </c>
      <c r="C149" s="72"/>
      <c r="D149" s="71"/>
      <c r="E149" s="71"/>
      <c r="F149" s="73"/>
      <c r="G149" s="72"/>
    </row>
    <row r="150" spans="1:7" x14ac:dyDescent="0.25">
      <c r="A150" s="20">
        <v>17</v>
      </c>
      <c r="B150" s="20" t="s">
        <v>21</v>
      </c>
      <c r="C150" s="37" t="s">
        <v>394</v>
      </c>
      <c r="D150" s="20">
        <v>4</v>
      </c>
      <c r="E150" s="20"/>
      <c r="F150" s="2">
        <f t="shared" si="1"/>
        <v>4</v>
      </c>
      <c r="G150" s="22" t="s">
        <v>159</v>
      </c>
    </row>
    <row r="151" spans="1:7" x14ac:dyDescent="0.25">
      <c r="A151" s="20">
        <v>17</v>
      </c>
      <c r="B151" s="20" t="s">
        <v>21</v>
      </c>
      <c r="C151" s="37" t="s">
        <v>245</v>
      </c>
      <c r="D151" s="20">
        <v>10</v>
      </c>
      <c r="E151" s="20">
        <v>10</v>
      </c>
      <c r="F151" s="2">
        <f t="shared" si="1"/>
        <v>0</v>
      </c>
      <c r="G151" s="22" t="s">
        <v>159</v>
      </c>
    </row>
    <row r="152" spans="1:7" x14ac:dyDescent="0.25">
      <c r="A152" s="20">
        <v>17</v>
      </c>
      <c r="B152" s="20" t="s">
        <v>21</v>
      </c>
      <c r="C152" s="37" t="s">
        <v>427</v>
      </c>
      <c r="D152" s="20">
        <v>6</v>
      </c>
      <c r="E152" s="20">
        <v>6</v>
      </c>
      <c r="F152" s="2">
        <f t="shared" si="1"/>
        <v>0</v>
      </c>
      <c r="G152" s="22" t="s">
        <v>159</v>
      </c>
    </row>
    <row r="153" spans="1:7" x14ac:dyDescent="0.25">
      <c r="A153" s="20">
        <v>17</v>
      </c>
      <c r="B153" s="20" t="s">
        <v>21</v>
      </c>
      <c r="C153" s="37" t="s">
        <v>707</v>
      </c>
      <c r="D153" s="20">
        <v>6</v>
      </c>
      <c r="E153" s="20">
        <v>6</v>
      </c>
      <c r="F153" s="2">
        <f t="shared" si="1"/>
        <v>0</v>
      </c>
      <c r="G153" s="22"/>
    </row>
    <row r="154" spans="1:7" x14ac:dyDescent="0.25">
      <c r="A154" s="71"/>
      <c r="B154" s="71" t="s">
        <v>14</v>
      </c>
      <c r="C154" s="72"/>
      <c r="D154" s="71"/>
      <c r="E154" s="71"/>
      <c r="F154" s="73"/>
      <c r="G154" s="92"/>
    </row>
    <row r="155" spans="1:7" x14ac:dyDescent="0.25">
      <c r="A155" s="20">
        <v>17</v>
      </c>
      <c r="B155" s="20" t="s">
        <v>14</v>
      </c>
      <c r="C155" s="37" t="s">
        <v>804</v>
      </c>
      <c r="D155" s="20">
        <v>14</v>
      </c>
      <c r="E155" s="20">
        <v>12</v>
      </c>
      <c r="F155" s="2">
        <f t="shared" si="1"/>
        <v>2</v>
      </c>
      <c r="G155" s="22"/>
    </row>
    <row r="156" spans="1:7" x14ac:dyDescent="0.25">
      <c r="A156" s="20">
        <v>17</v>
      </c>
      <c r="B156" s="20" t="s">
        <v>14</v>
      </c>
      <c r="C156" s="37" t="s">
        <v>889</v>
      </c>
      <c r="D156" s="20">
        <v>4</v>
      </c>
      <c r="E156" s="20">
        <v>4</v>
      </c>
      <c r="F156" s="2">
        <f t="shared" si="1"/>
        <v>0</v>
      </c>
      <c r="G156" s="22"/>
    </row>
    <row r="157" spans="1:7" x14ac:dyDescent="0.25">
      <c r="A157" s="20">
        <v>17</v>
      </c>
      <c r="B157" s="20" t="s">
        <v>14</v>
      </c>
      <c r="C157" s="37" t="s">
        <v>890</v>
      </c>
      <c r="D157" s="20">
        <v>38</v>
      </c>
      <c r="E157" s="20">
        <v>38</v>
      </c>
      <c r="F157" s="2">
        <f t="shared" si="1"/>
        <v>0</v>
      </c>
      <c r="G157" s="22"/>
    </row>
    <row r="158" spans="1:7" x14ac:dyDescent="0.25">
      <c r="A158" s="20">
        <v>17</v>
      </c>
      <c r="B158" s="20" t="s">
        <v>14</v>
      </c>
      <c r="C158" s="37" t="s">
        <v>487</v>
      </c>
      <c r="D158" s="20">
        <v>44</v>
      </c>
      <c r="E158" s="20">
        <v>44</v>
      </c>
      <c r="F158" s="2">
        <f t="shared" si="1"/>
        <v>0</v>
      </c>
      <c r="G158" s="22" t="s">
        <v>207</v>
      </c>
    </row>
    <row r="159" spans="1:7" x14ac:dyDescent="0.25">
      <c r="A159" s="20">
        <v>17</v>
      </c>
      <c r="B159" s="20" t="s">
        <v>14</v>
      </c>
      <c r="C159" s="37" t="s">
        <v>835</v>
      </c>
      <c r="D159" s="20">
        <v>12</v>
      </c>
      <c r="E159" s="20">
        <v>12</v>
      </c>
      <c r="F159" s="2">
        <f t="shared" si="1"/>
        <v>0</v>
      </c>
      <c r="G159" s="22"/>
    </row>
    <row r="160" spans="1:7" x14ac:dyDescent="0.25">
      <c r="A160" s="20">
        <v>17</v>
      </c>
      <c r="B160" s="20" t="s">
        <v>14</v>
      </c>
      <c r="C160" s="37" t="s">
        <v>654</v>
      </c>
      <c r="D160" s="20">
        <v>14</v>
      </c>
      <c r="E160" s="20">
        <v>14</v>
      </c>
      <c r="F160" s="2">
        <f t="shared" si="1"/>
        <v>0</v>
      </c>
      <c r="G160" s="22"/>
    </row>
    <row r="161" spans="1:7" x14ac:dyDescent="0.25">
      <c r="A161" s="20">
        <v>17</v>
      </c>
      <c r="B161" s="20" t="s">
        <v>14</v>
      </c>
      <c r="C161" s="37" t="s">
        <v>1071</v>
      </c>
      <c r="D161" s="20">
        <v>16</v>
      </c>
      <c r="E161" s="20"/>
      <c r="F161" s="2">
        <f t="shared" si="1"/>
        <v>16</v>
      </c>
      <c r="G161" s="22"/>
    </row>
    <row r="162" spans="1:7" x14ac:dyDescent="0.25">
      <c r="A162" s="71"/>
      <c r="B162" s="71" t="s">
        <v>18</v>
      </c>
      <c r="C162" s="72"/>
      <c r="D162" s="71"/>
      <c r="E162" s="71"/>
      <c r="F162" s="73"/>
      <c r="G162" s="72"/>
    </row>
    <row r="163" spans="1:7" x14ac:dyDescent="0.25">
      <c r="A163" s="20">
        <v>17</v>
      </c>
      <c r="B163" s="20" t="s">
        <v>18</v>
      </c>
      <c r="C163" s="37" t="s">
        <v>953</v>
      </c>
      <c r="D163" s="20">
        <v>22</v>
      </c>
      <c r="E163" s="20">
        <v>18</v>
      </c>
      <c r="F163" s="2">
        <f t="shared" si="1"/>
        <v>4</v>
      </c>
      <c r="G163" s="22"/>
    </row>
    <row r="164" spans="1:7" x14ac:dyDescent="0.25">
      <c r="A164" s="20">
        <v>17</v>
      </c>
      <c r="B164" s="20" t="s">
        <v>18</v>
      </c>
      <c r="C164" s="37" t="s">
        <v>356</v>
      </c>
      <c r="D164" s="20">
        <v>14</v>
      </c>
      <c r="E164" s="20">
        <v>14</v>
      </c>
      <c r="F164" s="2">
        <f t="shared" si="1"/>
        <v>0</v>
      </c>
      <c r="G164" s="22"/>
    </row>
    <row r="165" spans="1:7" x14ac:dyDescent="0.25">
      <c r="A165" s="20">
        <v>17</v>
      </c>
      <c r="B165" s="20" t="s">
        <v>18</v>
      </c>
      <c r="C165" s="37" t="s">
        <v>135</v>
      </c>
      <c r="D165" s="20">
        <v>16</v>
      </c>
      <c r="E165" s="20">
        <v>16</v>
      </c>
      <c r="F165" s="2">
        <f t="shared" si="1"/>
        <v>0</v>
      </c>
      <c r="G165" s="22"/>
    </row>
    <row r="166" spans="1:7" x14ac:dyDescent="0.25">
      <c r="A166" s="20">
        <v>17</v>
      </c>
      <c r="B166" s="20" t="s">
        <v>18</v>
      </c>
      <c r="C166" s="37" t="s">
        <v>134</v>
      </c>
      <c r="D166" s="20">
        <v>10</v>
      </c>
      <c r="E166" s="20">
        <v>10</v>
      </c>
      <c r="F166" s="2">
        <f t="shared" si="1"/>
        <v>0</v>
      </c>
      <c r="G166" s="22"/>
    </row>
    <row r="167" spans="1:7" x14ac:dyDescent="0.25">
      <c r="A167" s="20">
        <v>17</v>
      </c>
      <c r="B167" s="20" t="s">
        <v>18</v>
      </c>
      <c r="C167" s="37" t="s">
        <v>921</v>
      </c>
      <c r="D167" s="20">
        <v>12</v>
      </c>
      <c r="E167" s="20">
        <v>12</v>
      </c>
      <c r="F167" s="2">
        <f t="shared" si="1"/>
        <v>0</v>
      </c>
      <c r="G167" s="22"/>
    </row>
    <row r="168" spans="1:7" x14ac:dyDescent="0.25">
      <c r="A168" s="71"/>
      <c r="B168" s="74" t="s">
        <v>33</v>
      </c>
      <c r="C168" s="72"/>
      <c r="D168" s="74"/>
      <c r="E168" s="74"/>
      <c r="F168" s="73"/>
      <c r="G168" s="72"/>
    </row>
    <row r="169" spans="1:7" x14ac:dyDescent="0.25">
      <c r="A169" s="20">
        <v>17</v>
      </c>
      <c r="B169" s="35" t="s">
        <v>33</v>
      </c>
      <c r="C169" s="37" t="s">
        <v>22</v>
      </c>
      <c r="D169" s="35">
        <v>6</v>
      </c>
      <c r="E169" s="35">
        <v>2</v>
      </c>
      <c r="F169" s="2">
        <f t="shared" si="1"/>
        <v>4</v>
      </c>
      <c r="G169" s="22" t="s">
        <v>159</v>
      </c>
    </row>
    <row r="170" spans="1:7" x14ac:dyDescent="0.25">
      <c r="A170" s="20">
        <v>17</v>
      </c>
      <c r="B170" s="35" t="s">
        <v>33</v>
      </c>
      <c r="C170" s="37" t="s">
        <v>250</v>
      </c>
      <c r="D170" s="35">
        <v>18</v>
      </c>
      <c r="E170" s="35">
        <v>16</v>
      </c>
      <c r="F170" s="2">
        <f t="shared" si="1"/>
        <v>2</v>
      </c>
      <c r="G170" s="22" t="s">
        <v>159</v>
      </c>
    </row>
    <row r="171" spans="1:7" x14ac:dyDescent="0.25">
      <c r="A171" s="20">
        <v>17</v>
      </c>
      <c r="B171" s="35" t="s">
        <v>33</v>
      </c>
      <c r="C171" s="37" t="s">
        <v>690</v>
      </c>
      <c r="D171" s="35">
        <v>4</v>
      </c>
      <c r="E171" s="35">
        <v>2</v>
      </c>
      <c r="F171" s="2">
        <f t="shared" si="1"/>
        <v>2</v>
      </c>
      <c r="G171" s="22"/>
    </row>
    <row r="172" spans="1:7" x14ac:dyDescent="0.25">
      <c r="A172" s="20">
        <v>17</v>
      </c>
      <c r="B172" s="35" t="s">
        <v>33</v>
      </c>
      <c r="C172" s="37" t="s">
        <v>937</v>
      </c>
      <c r="D172" s="35">
        <v>2</v>
      </c>
      <c r="E172" s="35"/>
      <c r="F172" s="2">
        <f t="shared" si="1"/>
        <v>2</v>
      </c>
      <c r="G172" s="22" t="s">
        <v>377</v>
      </c>
    </row>
    <row r="173" spans="1:7" x14ac:dyDescent="0.25">
      <c r="A173" s="20">
        <v>17</v>
      </c>
      <c r="B173" s="35" t="s">
        <v>33</v>
      </c>
      <c r="C173" s="37" t="s">
        <v>867</v>
      </c>
      <c r="D173" s="35">
        <v>2</v>
      </c>
      <c r="E173" s="35">
        <v>2</v>
      </c>
      <c r="F173" s="2">
        <f t="shared" si="1"/>
        <v>0</v>
      </c>
      <c r="G173" s="22"/>
    </row>
    <row r="174" spans="1:7" x14ac:dyDescent="0.25">
      <c r="A174" s="71"/>
      <c r="B174" s="74" t="s">
        <v>15</v>
      </c>
      <c r="C174" s="72"/>
      <c r="D174" s="74"/>
      <c r="E174" s="74"/>
      <c r="F174" s="73"/>
      <c r="G174" s="72"/>
    </row>
    <row r="175" spans="1:7" x14ac:dyDescent="0.25">
      <c r="A175" s="20">
        <v>17</v>
      </c>
      <c r="B175" s="35" t="s">
        <v>15</v>
      </c>
      <c r="C175" s="37" t="s">
        <v>426</v>
      </c>
      <c r="D175" s="35">
        <v>24</v>
      </c>
      <c r="E175" s="35">
        <v>24</v>
      </c>
      <c r="F175" s="2">
        <f t="shared" si="1"/>
        <v>0</v>
      </c>
      <c r="G175" s="22" t="s">
        <v>159</v>
      </c>
    </row>
    <row r="176" spans="1:7" x14ac:dyDescent="0.25">
      <c r="A176" s="20">
        <v>17</v>
      </c>
      <c r="B176" s="35" t="s">
        <v>15</v>
      </c>
      <c r="C176" s="37" t="s">
        <v>275</v>
      </c>
      <c r="D176" s="35">
        <v>18</v>
      </c>
      <c r="E176" s="35">
        <v>18</v>
      </c>
      <c r="F176" s="2">
        <f t="shared" si="1"/>
        <v>0</v>
      </c>
      <c r="G176" s="22" t="s">
        <v>154</v>
      </c>
    </row>
    <row r="177" spans="1:7" x14ac:dyDescent="0.25">
      <c r="A177" s="20">
        <v>17</v>
      </c>
      <c r="B177" s="35" t="s">
        <v>15</v>
      </c>
      <c r="C177" s="37" t="s">
        <v>867</v>
      </c>
      <c r="D177" s="35">
        <v>2</v>
      </c>
      <c r="E177" s="35">
        <v>2</v>
      </c>
      <c r="F177" s="2">
        <f t="shared" si="1"/>
        <v>0</v>
      </c>
      <c r="G177" s="22" t="s">
        <v>154</v>
      </c>
    </row>
    <row r="178" spans="1:7" x14ac:dyDescent="0.25">
      <c r="A178" s="20">
        <v>17</v>
      </c>
      <c r="B178" s="35" t="s">
        <v>15</v>
      </c>
      <c r="C178" s="37" t="s">
        <v>327</v>
      </c>
      <c r="D178" s="35">
        <v>8</v>
      </c>
      <c r="E178" s="35">
        <v>4</v>
      </c>
      <c r="F178" s="2">
        <f t="shared" si="1"/>
        <v>4</v>
      </c>
      <c r="G178" s="22" t="s">
        <v>159</v>
      </c>
    </row>
    <row r="179" spans="1:7" x14ac:dyDescent="0.25">
      <c r="A179" s="20">
        <v>17</v>
      </c>
      <c r="B179" s="35" t="s">
        <v>15</v>
      </c>
      <c r="C179" s="37" t="s">
        <v>335</v>
      </c>
      <c r="D179" s="35">
        <v>4</v>
      </c>
      <c r="E179" s="35">
        <v>4</v>
      </c>
      <c r="F179" s="2">
        <f t="shared" si="1"/>
        <v>0</v>
      </c>
      <c r="G179" s="22" t="s">
        <v>159</v>
      </c>
    </row>
    <row r="180" spans="1:7" x14ac:dyDescent="0.25">
      <c r="A180" s="74"/>
      <c r="B180" s="74" t="s">
        <v>79</v>
      </c>
      <c r="C180" s="102"/>
      <c r="D180" s="74"/>
      <c r="E180" s="74"/>
      <c r="F180" s="73"/>
      <c r="G180" s="72"/>
    </row>
    <row r="181" spans="1:7" x14ac:dyDescent="0.25">
      <c r="A181" s="109">
        <v>17</v>
      </c>
      <c r="B181" s="109" t="s">
        <v>901</v>
      </c>
      <c r="C181" s="43" t="s">
        <v>713</v>
      </c>
      <c r="D181" s="109">
        <v>6</v>
      </c>
      <c r="E181" s="109">
        <v>6</v>
      </c>
      <c r="F181" s="2">
        <f>D181-E181</f>
        <v>0</v>
      </c>
      <c r="G181" s="110"/>
    </row>
    <row r="182" spans="1:7" x14ac:dyDescent="0.25">
      <c r="A182" s="35">
        <v>17</v>
      </c>
      <c r="B182" s="35" t="s">
        <v>79</v>
      </c>
      <c r="C182" s="37" t="s">
        <v>1063</v>
      </c>
      <c r="D182" s="35">
        <v>28</v>
      </c>
      <c r="E182" s="35">
        <v>28</v>
      </c>
      <c r="F182" s="45">
        <f t="shared" si="1"/>
        <v>0</v>
      </c>
      <c r="G182" s="22" t="s">
        <v>159</v>
      </c>
    </row>
    <row r="183" spans="1:7" x14ac:dyDescent="0.25">
      <c r="A183" s="35">
        <v>17</v>
      </c>
      <c r="B183" s="35" t="s">
        <v>79</v>
      </c>
      <c r="C183" s="37" t="s">
        <v>409</v>
      </c>
      <c r="D183" s="35">
        <v>10</v>
      </c>
      <c r="E183" s="35">
        <v>10</v>
      </c>
      <c r="F183" s="45">
        <f t="shared" ref="F183:F186" si="4">D183-E183</f>
        <v>0</v>
      </c>
      <c r="G183" s="22" t="s">
        <v>159</v>
      </c>
    </row>
    <row r="184" spans="1:7" x14ac:dyDescent="0.25">
      <c r="A184" s="35">
        <v>17</v>
      </c>
      <c r="B184" s="35" t="s">
        <v>79</v>
      </c>
      <c r="C184" s="37" t="s">
        <v>1062</v>
      </c>
      <c r="D184" s="35">
        <v>8</v>
      </c>
      <c r="E184" s="35">
        <v>4</v>
      </c>
      <c r="F184" s="45">
        <f t="shared" si="4"/>
        <v>4</v>
      </c>
      <c r="G184" s="22"/>
    </row>
    <row r="185" spans="1:7" x14ac:dyDescent="0.25">
      <c r="A185" s="35">
        <v>17</v>
      </c>
      <c r="B185" s="35" t="s">
        <v>79</v>
      </c>
      <c r="C185" s="37" t="s">
        <v>683</v>
      </c>
      <c r="D185" s="35">
        <v>20</v>
      </c>
      <c r="E185" s="35">
        <v>20</v>
      </c>
      <c r="F185" s="45">
        <f t="shared" si="4"/>
        <v>0</v>
      </c>
      <c r="G185" s="22"/>
    </row>
    <row r="186" spans="1:7" x14ac:dyDescent="0.25">
      <c r="A186" s="20">
        <v>17</v>
      </c>
      <c r="B186" s="20" t="s">
        <v>79</v>
      </c>
      <c r="C186" s="37" t="s">
        <v>655</v>
      </c>
      <c r="D186" s="20">
        <v>4</v>
      </c>
      <c r="E186" s="20">
        <v>4</v>
      </c>
      <c r="F186" s="2">
        <f t="shared" si="4"/>
        <v>0</v>
      </c>
      <c r="G186" s="22" t="s">
        <v>159</v>
      </c>
    </row>
    <row r="187" spans="1:7" x14ac:dyDescent="0.25">
      <c r="A187" s="44"/>
      <c r="D187" s="135">
        <f>SUM(D3:D186)</f>
        <v>3042</v>
      </c>
      <c r="E187" s="134">
        <f>SUM(E3:E186)</f>
        <v>2514</v>
      </c>
      <c r="F187" s="136">
        <f>SUM(F3:F186)</f>
        <v>528</v>
      </c>
    </row>
    <row r="188" spans="1:7" x14ac:dyDescent="0.25">
      <c r="A188" s="42"/>
      <c r="D188" t="s">
        <v>82</v>
      </c>
    </row>
  </sheetData>
  <sortState xmlns:xlrd2="http://schemas.microsoft.com/office/spreadsheetml/2017/richdata2" ref="A2:G78">
    <sortCondition ref="B2"/>
  </sortState>
  <pageMargins left="0.7" right="0.7" top="0.75" bottom="0.75" header="0.3" footer="0.3"/>
  <pageSetup paperSize="30" scale="9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8"/>
  <sheetViews>
    <sheetView topLeftCell="A106" zoomScale="145" zoomScaleNormal="145" workbookViewId="0">
      <selection activeCell="E115" sqref="E115"/>
    </sheetView>
  </sheetViews>
  <sheetFormatPr defaultRowHeight="15" x14ac:dyDescent="0.25"/>
  <cols>
    <col min="1" max="1" width="5.42578125" customWidth="1"/>
    <col min="2" max="2" width="10.140625" customWidth="1"/>
    <col min="3" max="3" width="29.140625" customWidth="1"/>
    <col min="4" max="4" width="7.42578125" customWidth="1"/>
    <col min="5" max="5" width="7.140625" customWidth="1"/>
    <col min="6" max="6" width="6.42578125" customWidth="1"/>
    <col min="7" max="7" width="10.85546875" customWidth="1"/>
    <col min="9" max="9" width="11.28515625" customWidth="1"/>
    <col min="12" max="12" width="15.7109375" customWidth="1"/>
    <col min="13" max="13" width="10.85546875" customWidth="1"/>
  </cols>
  <sheetData>
    <row r="1" spans="1:13" x14ac:dyDescent="0.25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49" t="s">
        <v>625</v>
      </c>
      <c r="I1" s="149" t="s">
        <v>2</v>
      </c>
      <c r="J1" s="149" t="s">
        <v>315</v>
      </c>
      <c r="K1" s="149" t="s">
        <v>626</v>
      </c>
      <c r="L1" s="149" t="s">
        <v>627</v>
      </c>
      <c r="M1" s="149" t="s">
        <v>628</v>
      </c>
    </row>
    <row r="2" spans="1:13" x14ac:dyDescent="0.25">
      <c r="A2" s="10">
        <v>18</v>
      </c>
      <c r="B2" s="10" t="s">
        <v>36</v>
      </c>
      <c r="C2" s="46" t="s">
        <v>22</v>
      </c>
      <c r="D2" s="10">
        <v>10</v>
      </c>
      <c r="E2" s="10">
        <v>10</v>
      </c>
      <c r="F2" s="10">
        <f t="shared" ref="F2:F185" si="0">D2-E2</f>
        <v>0</v>
      </c>
      <c r="G2" s="11"/>
    </row>
    <row r="3" spans="1:13" x14ac:dyDescent="0.25">
      <c r="A3" s="10">
        <v>18</v>
      </c>
      <c r="B3" s="10" t="s">
        <v>36</v>
      </c>
      <c r="C3" s="46" t="s">
        <v>685</v>
      </c>
      <c r="D3" s="10">
        <v>6</v>
      </c>
      <c r="E3" s="10">
        <v>6</v>
      </c>
      <c r="F3" s="10">
        <f t="shared" si="0"/>
        <v>0</v>
      </c>
      <c r="G3" s="11"/>
    </row>
    <row r="4" spans="1:13" x14ac:dyDescent="0.25">
      <c r="A4" s="10">
        <v>18</v>
      </c>
      <c r="B4" s="10" t="s">
        <v>36</v>
      </c>
      <c r="C4" s="46" t="s">
        <v>801</v>
      </c>
      <c r="D4" s="10">
        <v>4</v>
      </c>
      <c r="E4" s="10">
        <v>4</v>
      </c>
      <c r="F4" s="10">
        <f t="shared" si="0"/>
        <v>0</v>
      </c>
      <c r="G4" s="11"/>
    </row>
    <row r="5" spans="1:13" x14ac:dyDescent="0.25">
      <c r="A5" s="10">
        <v>18</v>
      </c>
      <c r="B5" s="10" t="s">
        <v>36</v>
      </c>
      <c r="C5" s="46" t="s">
        <v>20</v>
      </c>
      <c r="D5" s="10">
        <v>2</v>
      </c>
      <c r="E5" s="10">
        <v>2</v>
      </c>
      <c r="F5" s="10">
        <f t="shared" si="0"/>
        <v>0</v>
      </c>
      <c r="G5" s="11"/>
    </row>
    <row r="6" spans="1:13" x14ac:dyDescent="0.25">
      <c r="A6" s="76"/>
      <c r="B6" s="76" t="s">
        <v>193</v>
      </c>
      <c r="C6" s="78"/>
      <c r="D6" s="76"/>
      <c r="E6" s="76"/>
      <c r="F6" s="76"/>
      <c r="G6" s="78"/>
    </row>
    <row r="7" spans="1:13" x14ac:dyDescent="0.25">
      <c r="A7" s="10">
        <v>18</v>
      </c>
      <c r="B7" s="10" t="s">
        <v>10</v>
      </c>
      <c r="C7" s="46" t="s">
        <v>270</v>
      </c>
      <c r="D7" s="10">
        <v>6</v>
      </c>
      <c r="E7" s="10">
        <v>6</v>
      </c>
      <c r="F7" s="10">
        <f t="shared" si="0"/>
        <v>0</v>
      </c>
      <c r="G7" s="11"/>
    </row>
    <row r="8" spans="1:13" x14ac:dyDescent="0.25">
      <c r="A8" s="10">
        <v>18</v>
      </c>
      <c r="B8" s="10" t="s">
        <v>24</v>
      </c>
      <c r="C8" s="46" t="s">
        <v>327</v>
      </c>
      <c r="D8" s="10">
        <v>10</v>
      </c>
      <c r="E8" s="10">
        <v>10</v>
      </c>
      <c r="F8" s="10">
        <f>D8-E8</f>
        <v>0</v>
      </c>
      <c r="G8" s="11" t="s">
        <v>985</v>
      </c>
      <c r="H8" s="152">
        <v>2021</v>
      </c>
    </row>
    <row r="9" spans="1:13" x14ac:dyDescent="0.25">
      <c r="A9" s="10">
        <v>18</v>
      </c>
      <c r="B9" s="10" t="s">
        <v>24</v>
      </c>
      <c r="C9" s="46" t="s">
        <v>868</v>
      </c>
      <c r="D9" s="10">
        <v>6</v>
      </c>
      <c r="E9" s="10">
        <v>6</v>
      </c>
      <c r="F9" s="10">
        <f>D9-E9</f>
        <v>0</v>
      </c>
      <c r="G9" s="11"/>
    </row>
    <row r="10" spans="1:13" x14ac:dyDescent="0.25">
      <c r="A10" s="10">
        <v>18</v>
      </c>
      <c r="B10" s="10" t="s">
        <v>24</v>
      </c>
      <c r="C10" s="46" t="s">
        <v>239</v>
      </c>
      <c r="D10" s="10">
        <v>4</v>
      </c>
      <c r="E10" s="10">
        <v>4</v>
      </c>
      <c r="F10" s="10">
        <f>D10-E10</f>
        <v>0</v>
      </c>
      <c r="G10" s="11"/>
    </row>
    <row r="11" spans="1:13" x14ac:dyDescent="0.25">
      <c r="A11" s="10">
        <v>18</v>
      </c>
      <c r="B11" s="10" t="s">
        <v>24</v>
      </c>
      <c r="C11" s="46" t="s">
        <v>118</v>
      </c>
      <c r="D11" s="10">
        <v>20</v>
      </c>
      <c r="E11" s="10">
        <v>12</v>
      </c>
      <c r="F11" s="10">
        <f>D11-E11</f>
        <v>8</v>
      </c>
      <c r="G11" s="11"/>
    </row>
    <row r="12" spans="1:13" x14ac:dyDescent="0.25">
      <c r="A12" s="10">
        <v>18</v>
      </c>
      <c r="B12" s="10" t="s">
        <v>24</v>
      </c>
      <c r="C12" s="46" t="s">
        <v>22</v>
      </c>
      <c r="D12" s="10">
        <v>14</v>
      </c>
      <c r="E12" s="10">
        <v>2</v>
      </c>
      <c r="F12" s="10">
        <f t="shared" si="0"/>
        <v>12</v>
      </c>
      <c r="G12" s="11"/>
    </row>
    <row r="13" spans="1:13" x14ac:dyDescent="0.25">
      <c r="A13" s="10">
        <v>18</v>
      </c>
      <c r="B13" s="10" t="s">
        <v>24</v>
      </c>
      <c r="C13" s="46" t="s">
        <v>615</v>
      </c>
      <c r="D13" s="10">
        <v>4</v>
      </c>
      <c r="E13" s="10">
        <v>4</v>
      </c>
      <c r="F13" s="10">
        <f t="shared" si="0"/>
        <v>0</v>
      </c>
      <c r="G13" s="11"/>
    </row>
    <row r="14" spans="1:13" x14ac:dyDescent="0.25">
      <c r="A14" s="10">
        <v>18</v>
      </c>
      <c r="B14" s="10" t="s">
        <v>81</v>
      </c>
      <c r="C14" s="46" t="s">
        <v>308</v>
      </c>
      <c r="D14" s="10">
        <v>14</v>
      </c>
      <c r="E14" s="10">
        <v>12</v>
      </c>
      <c r="F14" s="10">
        <f t="shared" si="0"/>
        <v>2</v>
      </c>
      <c r="G14" s="11"/>
    </row>
    <row r="15" spans="1:13" x14ac:dyDescent="0.25">
      <c r="A15" s="10">
        <v>18</v>
      </c>
      <c r="B15" s="10" t="s">
        <v>81</v>
      </c>
      <c r="C15" s="46" t="s">
        <v>530</v>
      </c>
      <c r="D15" s="10">
        <v>4</v>
      </c>
      <c r="E15" s="10">
        <v>4</v>
      </c>
      <c r="F15" s="10">
        <f t="shared" si="0"/>
        <v>0</v>
      </c>
      <c r="G15" s="11"/>
    </row>
    <row r="16" spans="1:13" x14ac:dyDescent="0.25">
      <c r="A16" s="10">
        <v>18</v>
      </c>
      <c r="B16" s="10" t="s">
        <v>81</v>
      </c>
      <c r="C16" s="46" t="s">
        <v>532</v>
      </c>
      <c r="D16" s="10">
        <v>12</v>
      </c>
      <c r="E16" s="10">
        <v>4</v>
      </c>
      <c r="F16" s="10">
        <f t="shared" si="0"/>
        <v>8</v>
      </c>
      <c r="G16" s="11"/>
    </row>
    <row r="17" spans="1:7" x14ac:dyDescent="0.25">
      <c r="A17" s="10">
        <v>18</v>
      </c>
      <c r="B17" s="10" t="s">
        <v>81</v>
      </c>
      <c r="C17" s="46" t="s">
        <v>340</v>
      </c>
      <c r="D17" s="10">
        <v>8</v>
      </c>
      <c r="E17" s="10">
        <v>4</v>
      </c>
      <c r="F17" s="10">
        <f t="shared" si="0"/>
        <v>4</v>
      </c>
      <c r="G17" s="11" t="s">
        <v>774</v>
      </c>
    </row>
    <row r="18" spans="1:7" x14ac:dyDescent="0.25">
      <c r="A18" s="76"/>
      <c r="B18" s="76" t="s">
        <v>77</v>
      </c>
      <c r="C18" s="78"/>
      <c r="D18" s="76"/>
      <c r="E18" s="76"/>
      <c r="F18" s="76"/>
      <c r="G18" s="78"/>
    </row>
    <row r="19" spans="1:7" x14ac:dyDescent="0.25">
      <c r="A19" s="10">
        <v>18</v>
      </c>
      <c r="B19" s="10" t="s">
        <v>77</v>
      </c>
      <c r="C19" s="46" t="s">
        <v>402</v>
      </c>
      <c r="D19" s="10">
        <v>4</v>
      </c>
      <c r="E19" s="10"/>
      <c r="F19" s="10">
        <f t="shared" si="0"/>
        <v>4</v>
      </c>
      <c r="G19" s="11" t="s">
        <v>749</v>
      </c>
    </row>
    <row r="20" spans="1:7" x14ac:dyDescent="0.25">
      <c r="A20" s="10">
        <v>18</v>
      </c>
      <c r="B20" s="10" t="s">
        <v>77</v>
      </c>
      <c r="C20" s="46" t="s">
        <v>69</v>
      </c>
      <c r="D20" s="10">
        <v>8</v>
      </c>
      <c r="E20" s="10">
        <v>4</v>
      </c>
      <c r="F20" s="10">
        <f t="shared" si="0"/>
        <v>4</v>
      </c>
      <c r="G20" s="11"/>
    </row>
    <row r="21" spans="1:7" x14ac:dyDescent="0.25">
      <c r="A21" s="10">
        <v>18</v>
      </c>
      <c r="B21" s="10" t="s">
        <v>77</v>
      </c>
      <c r="C21" s="46" t="s">
        <v>40</v>
      </c>
      <c r="D21" s="10">
        <v>16</v>
      </c>
      <c r="E21" s="10">
        <v>6</v>
      </c>
      <c r="F21" s="10">
        <f t="shared" si="0"/>
        <v>10</v>
      </c>
      <c r="G21" s="11"/>
    </row>
    <row r="22" spans="1:7" x14ac:dyDescent="0.25">
      <c r="A22" s="10">
        <v>18</v>
      </c>
      <c r="B22" s="10" t="s">
        <v>77</v>
      </c>
      <c r="C22" s="46" t="s">
        <v>700</v>
      </c>
      <c r="D22" s="10">
        <v>4</v>
      </c>
      <c r="E22" s="10">
        <v>4</v>
      </c>
      <c r="F22" s="10">
        <f t="shared" si="0"/>
        <v>0</v>
      </c>
      <c r="G22" s="11" t="s">
        <v>701</v>
      </c>
    </row>
    <row r="23" spans="1:7" x14ac:dyDescent="0.25">
      <c r="A23" s="10">
        <v>18</v>
      </c>
      <c r="B23" s="10" t="s">
        <v>77</v>
      </c>
      <c r="C23" s="46" t="s">
        <v>266</v>
      </c>
      <c r="D23" s="10">
        <v>4</v>
      </c>
      <c r="E23" s="10"/>
      <c r="F23" s="10">
        <f t="shared" si="0"/>
        <v>4</v>
      </c>
      <c r="G23" s="11"/>
    </row>
    <row r="24" spans="1:7" x14ac:dyDescent="0.25">
      <c r="A24" s="10">
        <v>18</v>
      </c>
      <c r="B24" s="10" t="s">
        <v>77</v>
      </c>
      <c r="C24" s="46" t="s">
        <v>588</v>
      </c>
      <c r="D24" s="10">
        <v>4</v>
      </c>
      <c r="E24" s="10"/>
      <c r="F24" s="10">
        <f t="shared" si="0"/>
        <v>4</v>
      </c>
      <c r="G24" s="11"/>
    </row>
    <row r="25" spans="1:7" x14ac:dyDescent="0.25">
      <c r="A25" s="10">
        <v>18</v>
      </c>
      <c r="B25" s="10" t="s">
        <v>77</v>
      </c>
      <c r="C25" s="46" t="s">
        <v>89</v>
      </c>
      <c r="D25" s="10">
        <v>80</v>
      </c>
      <c r="E25" s="10">
        <v>72</v>
      </c>
      <c r="F25" s="10">
        <f t="shared" si="0"/>
        <v>8</v>
      </c>
      <c r="G25" s="11"/>
    </row>
    <row r="26" spans="1:7" x14ac:dyDescent="0.25">
      <c r="A26" s="76"/>
      <c r="B26" s="76" t="s">
        <v>35</v>
      </c>
      <c r="C26" s="78"/>
      <c r="D26" s="76"/>
      <c r="E26" s="76"/>
      <c r="F26" s="76"/>
      <c r="G26" s="78"/>
    </row>
    <row r="27" spans="1:7" x14ac:dyDescent="0.25">
      <c r="A27" s="10">
        <v>18</v>
      </c>
      <c r="B27" s="10" t="s">
        <v>35</v>
      </c>
      <c r="C27" s="46" t="s">
        <v>271</v>
      </c>
      <c r="D27" s="10">
        <v>60</v>
      </c>
      <c r="E27" s="10">
        <v>58</v>
      </c>
      <c r="F27" s="10">
        <f t="shared" si="0"/>
        <v>2</v>
      </c>
      <c r="G27" s="11" t="s">
        <v>981</v>
      </c>
    </row>
    <row r="28" spans="1:7" x14ac:dyDescent="0.25">
      <c r="A28" s="10">
        <v>18</v>
      </c>
      <c r="B28" s="10" t="s">
        <v>35</v>
      </c>
      <c r="C28" s="46" t="s">
        <v>532</v>
      </c>
      <c r="D28" s="10">
        <v>6</v>
      </c>
      <c r="E28" s="10"/>
      <c r="F28" s="10">
        <f t="shared" si="0"/>
        <v>6</v>
      </c>
      <c r="G28" s="11"/>
    </row>
    <row r="29" spans="1:7" x14ac:dyDescent="0.25">
      <c r="A29" s="10">
        <v>18</v>
      </c>
      <c r="B29" s="10" t="s">
        <v>35</v>
      </c>
      <c r="C29" s="46" t="s">
        <v>346</v>
      </c>
      <c r="D29" s="10">
        <v>8</v>
      </c>
      <c r="E29" s="10">
        <v>4</v>
      </c>
      <c r="F29" s="10">
        <f t="shared" si="0"/>
        <v>4</v>
      </c>
      <c r="G29" s="11" t="s">
        <v>667</v>
      </c>
    </row>
    <row r="30" spans="1:7" x14ac:dyDescent="0.25">
      <c r="A30" s="10">
        <v>18</v>
      </c>
      <c r="B30" s="10" t="s">
        <v>35</v>
      </c>
      <c r="C30" s="46" t="s">
        <v>830</v>
      </c>
      <c r="D30" s="10">
        <v>8</v>
      </c>
      <c r="E30" s="10">
        <v>4</v>
      </c>
      <c r="F30" s="10">
        <f t="shared" si="0"/>
        <v>4</v>
      </c>
      <c r="G30" s="11" t="s">
        <v>603</v>
      </c>
    </row>
    <row r="31" spans="1:7" x14ac:dyDescent="0.25">
      <c r="A31" s="10">
        <v>18</v>
      </c>
      <c r="B31" s="10" t="s">
        <v>35</v>
      </c>
      <c r="C31" s="46" t="s">
        <v>673</v>
      </c>
      <c r="D31" s="10">
        <v>8</v>
      </c>
      <c r="E31" s="10">
        <v>6</v>
      </c>
      <c r="F31" s="10">
        <f t="shared" si="0"/>
        <v>2</v>
      </c>
      <c r="G31" s="11"/>
    </row>
    <row r="32" spans="1:7" x14ac:dyDescent="0.25">
      <c r="A32" s="10">
        <v>18</v>
      </c>
      <c r="B32" s="10" t="s">
        <v>35</v>
      </c>
      <c r="C32" s="46" t="s">
        <v>403</v>
      </c>
      <c r="D32" s="10">
        <v>40</v>
      </c>
      <c r="E32" s="10">
        <v>38</v>
      </c>
      <c r="F32" s="10">
        <f t="shared" si="0"/>
        <v>2</v>
      </c>
      <c r="G32" s="11" t="s">
        <v>159</v>
      </c>
    </row>
    <row r="33" spans="1:8" x14ac:dyDescent="0.25">
      <c r="A33" s="10">
        <v>18</v>
      </c>
      <c r="B33" s="10" t="s">
        <v>35</v>
      </c>
      <c r="C33" s="46" t="s">
        <v>836</v>
      </c>
      <c r="D33" s="10">
        <v>8</v>
      </c>
      <c r="E33" s="10">
        <v>8</v>
      </c>
      <c r="F33" s="10">
        <f t="shared" si="0"/>
        <v>0</v>
      </c>
      <c r="G33" s="11"/>
    </row>
    <row r="34" spans="1:8" x14ac:dyDescent="0.25">
      <c r="A34" s="10">
        <v>18</v>
      </c>
      <c r="B34" s="10" t="s">
        <v>35</v>
      </c>
      <c r="C34" s="46" t="s">
        <v>682</v>
      </c>
      <c r="D34" s="10">
        <v>8</v>
      </c>
      <c r="E34" s="10">
        <v>4</v>
      </c>
      <c r="F34" s="10">
        <f t="shared" si="0"/>
        <v>4</v>
      </c>
      <c r="G34" s="11" t="s">
        <v>159</v>
      </c>
    </row>
    <row r="35" spans="1:8" x14ac:dyDescent="0.25">
      <c r="A35" s="10">
        <v>18</v>
      </c>
      <c r="B35" s="10" t="s">
        <v>35</v>
      </c>
      <c r="C35" s="46" t="s">
        <v>189</v>
      </c>
      <c r="D35" s="10">
        <v>12</v>
      </c>
      <c r="E35" s="10">
        <v>8</v>
      </c>
      <c r="F35" s="10">
        <f t="shared" si="0"/>
        <v>4</v>
      </c>
      <c r="G35" s="11" t="s">
        <v>507</v>
      </c>
    </row>
    <row r="36" spans="1:8" x14ac:dyDescent="0.25">
      <c r="A36" s="10">
        <v>18</v>
      </c>
      <c r="B36" s="10" t="s">
        <v>35</v>
      </c>
      <c r="C36" s="46" t="s">
        <v>144</v>
      </c>
      <c r="D36" s="10">
        <v>2</v>
      </c>
      <c r="E36" s="10">
        <v>2</v>
      </c>
      <c r="F36" s="10">
        <f t="shared" si="0"/>
        <v>0</v>
      </c>
      <c r="G36" s="11" t="s">
        <v>159</v>
      </c>
    </row>
    <row r="37" spans="1:8" x14ac:dyDescent="0.25">
      <c r="A37" s="10">
        <v>18</v>
      </c>
      <c r="B37" s="10" t="s">
        <v>35</v>
      </c>
      <c r="C37" s="46" t="s">
        <v>342</v>
      </c>
      <c r="D37" s="10">
        <v>10</v>
      </c>
      <c r="E37" s="10">
        <v>8</v>
      </c>
      <c r="F37" s="10">
        <f t="shared" si="0"/>
        <v>2</v>
      </c>
      <c r="G37" s="11" t="s">
        <v>607</v>
      </c>
    </row>
    <row r="38" spans="1:8" x14ac:dyDescent="0.25">
      <c r="A38" s="10">
        <v>18</v>
      </c>
      <c r="B38" s="10" t="s">
        <v>35</v>
      </c>
      <c r="C38" s="46" t="s">
        <v>45</v>
      </c>
      <c r="D38" s="10">
        <v>26</v>
      </c>
      <c r="E38" s="10">
        <v>26</v>
      </c>
      <c r="F38" s="10">
        <f t="shared" si="0"/>
        <v>0</v>
      </c>
      <c r="G38" s="11" t="s">
        <v>28</v>
      </c>
      <c r="H38" t="s">
        <v>207</v>
      </c>
    </row>
    <row r="39" spans="1:8" x14ac:dyDescent="0.25">
      <c r="A39" s="10">
        <v>18</v>
      </c>
      <c r="B39" s="10" t="s">
        <v>35</v>
      </c>
      <c r="C39" s="46" t="s">
        <v>310</v>
      </c>
      <c r="D39" s="10">
        <v>12</v>
      </c>
      <c r="E39" s="10">
        <v>12</v>
      </c>
      <c r="F39" s="10">
        <f t="shared" si="0"/>
        <v>0</v>
      </c>
      <c r="G39" s="11" t="s">
        <v>28</v>
      </c>
      <c r="H39" s="152">
        <v>2019</v>
      </c>
    </row>
    <row r="40" spans="1:8" x14ac:dyDescent="0.25">
      <c r="A40" s="10">
        <v>18</v>
      </c>
      <c r="B40" s="10" t="s">
        <v>35</v>
      </c>
      <c r="C40" s="46" t="s">
        <v>394</v>
      </c>
      <c r="D40" s="10">
        <v>2</v>
      </c>
      <c r="E40" s="10"/>
      <c r="F40" s="10">
        <f t="shared" si="0"/>
        <v>2</v>
      </c>
      <c r="G40" s="11" t="s">
        <v>631</v>
      </c>
      <c r="H40" s="152"/>
    </row>
    <row r="41" spans="1:8" x14ac:dyDescent="0.25">
      <c r="A41" s="10">
        <v>18</v>
      </c>
      <c r="B41" s="10" t="s">
        <v>35</v>
      </c>
      <c r="C41" s="46" t="s">
        <v>145</v>
      </c>
      <c r="D41" s="10">
        <v>8</v>
      </c>
      <c r="E41" s="10">
        <v>8</v>
      </c>
      <c r="F41" s="10">
        <f>D41-E41</f>
        <v>0</v>
      </c>
      <c r="G41" s="11"/>
    </row>
    <row r="42" spans="1:8" x14ac:dyDescent="0.25">
      <c r="A42" s="10">
        <v>18</v>
      </c>
      <c r="B42" s="10" t="s">
        <v>35</v>
      </c>
      <c r="C42" s="46" t="s">
        <v>753</v>
      </c>
      <c r="D42" s="10">
        <v>4</v>
      </c>
      <c r="E42" s="10">
        <v>4</v>
      </c>
      <c r="F42" s="10">
        <f t="shared" si="0"/>
        <v>0</v>
      </c>
      <c r="G42" s="11" t="s">
        <v>354</v>
      </c>
    </row>
    <row r="43" spans="1:8" x14ac:dyDescent="0.25">
      <c r="A43" s="10">
        <v>18</v>
      </c>
      <c r="B43" s="10" t="s">
        <v>35</v>
      </c>
      <c r="C43" s="46" t="s">
        <v>842</v>
      </c>
      <c r="D43" s="10">
        <v>14</v>
      </c>
      <c r="E43" s="10">
        <v>14</v>
      </c>
      <c r="F43" s="10">
        <f t="shared" si="0"/>
        <v>0</v>
      </c>
      <c r="G43" s="11" t="s">
        <v>159</v>
      </c>
    </row>
    <row r="44" spans="1:8" x14ac:dyDescent="0.25">
      <c r="A44" s="10">
        <v>18</v>
      </c>
      <c r="B44" s="10" t="s">
        <v>35</v>
      </c>
      <c r="C44" s="46" t="s">
        <v>843</v>
      </c>
      <c r="D44" s="10">
        <v>8</v>
      </c>
      <c r="E44" s="10">
        <v>8</v>
      </c>
      <c r="F44" s="10">
        <f t="shared" si="0"/>
        <v>0</v>
      </c>
      <c r="G44" s="11"/>
    </row>
    <row r="45" spans="1:8" x14ac:dyDescent="0.25">
      <c r="A45" s="10">
        <v>18</v>
      </c>
      <c r="B45" s="10" t="s">
        <v>35</v>
      </c>
      <c r="C45" s="46" t="s">
        <v>22</v>
      </c>
      <c r="D45" s="10">
        <v>12</v>
      </c>
      <c r="E45" s="10">
        <v>12</v>
      </c>
      <c r="F45" s="10">
        <f t="shared" si="0"/>
        <v>0</v>
      </c>
      <c r="G45" s="11"/>
    </row>
    <row r="46" spans="1:8" x14ac:dyDescent="0.25">
      <c r="A46" s="10">
        <v>18</v>
      </c>
      <c r="B46" s="10" t="s">
        <v>35</v>
      </c>
      <c r="C46" s="46" t="s">
        <v>703</v>
      </c>
      <c r="D46" s="10">
        <v>6</v>
      </c>
      <c r="E46" s="10"/>
      <c r="F46" s="10">
        <f t="shared" si="0"/>
        <v>6</v>
      </c>
      <c r="G46" s="11" t="s">
        <v>607</v>
      </c>
    </row>
    <row r="47" spans="1:8" x14ac:dyDescent="0.25">
      <c r="A47" s="10">
        <v>18</v>
      </c>
      <c r="B47" s="10" t="s">
        <v>35</v>
      </c>
      <c r="C47" s="46" t="s">
        <v>878</v>
      </c>
      <c r="D47" s="10">
        <v>24</v>
      </c>
      <c r="E47" s="10">
        <v>12</v>
      </c>
      <c r="F47" s="10">
        <f t="shared" si="0"/>
        <v>12</v>
      </c>
      <c r="G47" s="11" t="s">
        <v>354</v>
      </c>
    </row>
    <row r="48" spans="1:8" x14ac:dyDescent="0.25">
      <c r="A48" s="10">
        <v>18</v>
      </c>
      <c r="B48" s="10" t="s">
        <v>35</v>
      </c>
      <c r="C48" s="46" t="s">
        <v>1071</v>
      </c>
      <c r="D48" s="10">
        <v>8</v>
      </c>
      <c r="E48" s="10"/>
      <c r="F48" s="10">
        <f t="shared" si="0"/>
        <v>8</v>
      </c>
      <c r="G48" s="11"/>
    </row>
    <row r="49" spans="1:8" x14ac:dyDescent="0.25">
      <c r="A49" s="76"/>
      <c r="B49" s="76" t="s">
        <v>19</v>
      </c>
      <c r="C49" s="78"/>
      <c r="D49" s="76"/>
      <c r="E49" s="76"/>
      <c r="F49" s="76"/>
      <c r="G49" s="78"/>
      <c r="H49" t="s">
        <v>207</v>
      </c>
    </row>
    <row r="50" spans="1:8" x14ac:dyDescent="0.25">
      <c r="A50" s="14">
        <v>18</v>
      </c>
      <c r="B50" s="14" t="s">
        <v>19</v>
      </c>
      <c r="C50" s="46" t="s">
        <v>302</v>
      </c>
      <c r="D50" s="14">
        <v>50</v>
      </c>
      <c r="E50" s="14">
        <v>50</v>
      </c>
      <c r="F50" s="14">
        <f t="shared" si="0"/>
        <v>0</v>
      </c>
      <c r="G50" s="12" t="s">
        <v>662</v>
      </c>
      <c r="H50" s="151"/>
    </row>
    <row r="51" spans="1:8" x14ac:dyDescent="0.25">
      <c r="A51" s="14">
        <v>18</v>
      </c>
      <c r="B51" s="14" t="s">
        <v>19</v>
      </c>
      <c r="C51" s="46" t="s">
        <v>532</v>
      </c>
      <c r="D51" s="14">
        <v>34</v>
      </c>
      <c r="E51" s="14">
        <v>20</v>
      </c>
      <c r="F51" s="14">
        <f t="shared" si="0"/>
        <v>14</v>
      </c>
      <c r="G51" s="12" t="s">
        <v>607</v>
      </c>
      <c r="H51" t="s">
        <v>740</v>
      </c>
    </row>
    <row r="52" spans="1:8" x14ac:dyDescent="0.25">
      <c r="A52" s="14">
        <v>18</v>
      </c>
      <c r="B52" s="14" t="s">
        <v>19</v>
      </c>
      <c r="C52" s="46" t="s">
        <v>555</v>
      </c>
      <c r="D52" s="14">
        <v>4</v>
      </c>
      <c r="E52" s="14">
        <v>4</v>
      </c>
      <c r="F52" s="14">
        <f t="shared" si="0"/>
        <v>0</v>
      </c>
      <c r="G52" s="12" t="s">
        <v>159</v>
      </c>
    </row>
    <row r="53" spans="1:8" x14ac:dyDescent="0.25">
      <c r="A53" s="14">
        <v>18</v>
      </c>
      <c r="B53" s="14" t="s">
        <v>19</v>
      </c>
      <c r="C53" s="46" t="s">
        <v>831</v>
      </c>
      <c r="D53" s="14">
        <v>2</v>
      </c>
      <c r="E53" s="14"/>
      <c r="F53" s="14">
        <f t="shared" si="0"/>
        <v>2</v>
      </c>
      <c r="G53" s="12"/>
    </row>
    <row r="54" spans="1:8" x14ac:dyDescent="0.25">
      <c r="A54" s="14">
        <v>18</v>
      </c>
      <c r="B54" s="14" t="s">
        <v>19</v>
      </c>
      <c r="C54" s="46" t="s">
        <v>815</v>
      </c>
      <c r="D54" s="14">
        <v>6</v>
      </c>
      <c r="E54" s="14">
        <v>4</v>
      </c>
      <c r="F54" s="14">
        <f t="shared" si="0"/>
        <v>2</v>
      </c>
      <c r="G54" s="12"/>
    </row>
    <row r="55" spans="1:8" x14ac:dyDescent="0.25">
      <c r="A55" s="10">
        <v>18</v>
      </c>
      <c r="B55" s="14" t="s">
        <v>19</v>
      </c>
      <c r="C55" s="46" t="s">
        <v>42</v>
      </c>
      <c r="D55" s="10">
        <v>46</v>
      </c>
      <c r="E55" s="10">
        <v>32</v>
      </c>
      <c r="F55" s="14">
        <f t="shared" si="0"/>
        <v>14</v>
      </c>
      <c r="G55" s="11" t="s">
        <v>28</v>
      </c>
      <c r="H55" t="s">
        <v>866</v>
      </c>
    </row>
    <row r="56" spans="1:8" x14ac:dyDescent="0.25">
      <c r="A56" s="10">
        <v>18</v>
      </c>
      <c r="B56" s="14" t="s">
        <v>19</v>
      </c>
      <c r="C56" s="46" t="s">
        <v>752</v>
      </c>
      <c r="D56" s="10">
        <v>4</v>
      </c>
      <c r="E56" s="10"/>
      <c r="F56" s="14">
        <f t="shared" si="0"/>
        <v>4</v>
      </c>
      <c r="G56" s="11" t="s">
        <v>354</v>
      </c>
    </row>
    <row r="57" spans="1:8" ht="14.25" customHeight="1" x14ac:dyDescent="0.25">
      <c r="A57" s="10">
        <v>18</v>
      </c>
      <c r="B57" s="10" t="s">
        <v>19</v>
      </c>
      <c r="C57" s="46" t="s">
        <v>22</v>
      </c>
      <c r="D57" s="10">
        <v>78</v>
      </c>
      <c r="E57" s="10">
        <v>70</v>
      </c>
      <c r="F57" s="14">
        <f t="shared" si="0"/>
        <v>8</v>
      </c>
      <c r="G57" s="11" t="s">
        <v>587</v>
      </c>
      <c r="H57" t="s">
        <v>722</v>
      </c>
    </row>
    <row r="58" spans="1:8" ht="14.25" customHeight="1" x14ac:dyDescent="0.25">
      <c r="A58" s="10">
        <v>18</v>
      </c>
      <c r="B58" s="10" t="s">
        <v>19</v>
      </c>
      <c r="C58" s="46" t="s">
        <v>602</v>
      </c>
      <c r="D58" s="10">
        <v>10</v>
      </c>
      <c r="E58" s="10">
        <v>6</v>
      </c>
      <c r="F58" s="14">
        <f t="shared" si="0"/>
        <v>4</v>
      </c>
      <c r="G58" s="11" t="s">
        <v>607</v>
      </c>
    </row>
    <row r="59" spans="1:8" ht="14.25" customHeight="1" x14ac:dyDescent="0.25">
      <c r="A59" s="10">
        <v>18</v>
      </c>
      <c r="B59" s="10" t="s">
        <v>19</v>
      </c>
      <c r="C59" s="46" t="s">
        <v>840</v>
      </c>
      <c r="D59" s="10">
        <v>4</v>
      </c>
      <c r="E59" s="10">
        <v>2</v>
      </c>
      <c r="F59" s="14">
        <f t="shared" si="0"/>
        <v>2</v>
      </c>
      <c r="G59" s="11"/>
    </row>
    <row r="60" spans="1:8" ht="14.25" customHeight="1" x14ac:dyDescent="0.25">
      <c r="A60" s="10">
        <v>18</v>
      </c>
      <c r="B60" s="10" t="s">
        <v>19</v>
      </c>
      <c r="C60" s="46" t="s">
        <v>426</v>
      </c>
      <c r="D60" s="10">
        <v>14</v>
      </c>
      <c r="E60" s="10">
        <v>8</v>
      </c>
      <c r="F60" s="14">
        <f t="shared" si="0"/>
        <v>6</v>
      </c>
      <c r="G60" s="11">
        <v>2021</v>
      </c>
      <c r="H60" t="s">
        <v>172</v>
      </c>
    </row>
    <row r="61" spans="1:8" x14ac:dyDescent="0.25">
      <c r="A61" s="10">
        <v>18</v>
      </c>
      <c r="B61" s="10" t="s">
        <v>19</v>
      </c>
      <c r="C61" s="46" t="s">
        <v>650</v>
      </c>
      <c r="D61" s="10">
        <v>6</v>
      </c>
      <c r="E61" s="10">
        <v>2</v>
      </c>
      <c r="F61" s="14">
        <f t="shared" si="0"/>
        <v>4</v>
      </c>
      <c r="G61" s="11"/>
    </row>
    <row r="62" spans="1:8" x14ac:dyDescent="0.25">
      <c r="A62" s="10">
        <v>18</v>
      </c>
      <c r="B62" s="10" t="s">
        <v>448</v>
      </c>
      <c r="C62" s="46" t="s">
        <v>838</v>
      </c>
      <c r="D62" s="10">
        <v>26</v>
      </c>
      <c r="E62" s="10">
        <v>22</v>
      </c>
      <c r="F62" s="14">
        <f t="shared" si="0"/>
        <v>4</v>
      </c>
      <c r="G62" s="11" t="s">
        <v>607</v>
      </c>
      <c r="H62" t="s">
        <v>1076</v>
      </c>
    </row>
    <row r="63" spans="1:8" x14ac:dyDescent="0.25">
      <c r="A63" s="10">
        <v>18</v>
      </c>
      <c r="B63" s="10" t="s">
        <v>19</v>
      </c>
      <c r="C63" s="46" t="s">
        <v>342</v>
      </c>
      <c r="D63" s="10">
        <v>38</v>
      </c>
      <c r="E63" s="10">
        <v>26</v>
      </c>
      <c r="F63" s="14">
        <f t="shared" si="0"/>
        <v>12</v>
      </c>
      <c r="G63" s="11" t="s">
        <v>499</v>
      </c>
      <c r="H63" t="s">
        <v>1092</v>
      </c>
    </row>
    <row r="64" spans="1:8" x14ac:dyDescent="0.25">
      <c r="A64" s="10">
        <v>18</v>
      </c>
      <c r="B64" s="10" t="s">
        <v>19</v>
      </c>
      <c r="C64" s="46" t="s">
        <v>791</v>
      </c>
      <c r="D64" s="10">
        <v>6</v>
      </c>
      <c r="E64" s="10">
        <v>6</v>
      </c>
      <c r="F64" s="14">
        <f t="shared" si="0"/>
        <v>0</v>
      </c>
      <c r="G64" s="11"/>
    </row>
    <row r="65" spans="1:9" x14ac:dyDescent="0.25">
      <c r="A65" s="10">
        <v>18</v>
      </c>
      <c r="B65" s="10" t="s">
        <v>19</v>
      </c>
      <c r="C65" s="88" t="s">
        <v>70</v>
      </c>
      <c r="D65" s="10">
        <v>20</v>
      </c>
      <c r="E65" s="10">
        <v>16</v>
      </c>
      <c r="F65" s="10">
        <f t="shared" si="0"/>
        <v>4</v>
      </c>
      <c r="G65" s="11" t="s">
        <v>28</v>
      </c>
      <c r="H65" t="s">
        <v>1004</v>
      </c>
    </row>
    <row r="66" spans="1:9" x14ac:dyDescent="0.25">
      <c r="A66" s="10">
        <v>18</v>
      </c>
      <c r="B66" s="10" t="s">
        <v>19</v>
      </c>
      <c r="C66" s="88" t="s">
        <v>878</v>
      </c>
      <c r="D66" s="10">
        <v>36</v>
      </c>
      <c r="E66" s="10">
        <v>32</v>
      </c>
      <c r="F66" s="10">
        <f t="shared" si="0"/>
        <v>4</v>
      </c>
      <c r="G66" s="11" t="s">
        <v>354</v>
      </c>
    </row>
    <row r="67" spans="1:9" x14ac:dyDescent="0.25">
      <c r="A67" s="10">
        <v>18</v>
      </c>
      <c r="B67" s="10" t="s">
        <v>19</v>
      </c>
      <c r="C67" s="46" t="s">
        <v>275</v>
      </c>
      <c r="D67" s="10">
        <v>10</v>
      </c>
      <c r="E67" s="10">
        <v>10</v>
      </c>
      <c r="F67" s="10">
        <f t="shared" si="0"/>
        <v>0</v>
      </c>
      <c r="G67" s="11" t="s">
        <v>159</v>
      </c>
    </row>
    <row r="68" spans="1:9" x14ac:dyDescent="0.25">
      <c r="A68" s="76"/>
      <c r="B68" s="76" t="s">
        <v>9</v>
      </c>
      <c r="C68" s="78"/>
      <c r="D68" s="76"/>
      <c r="E68" s="76"/>
      <c r="F68" s="76"/>
      <c r="G68" s="78"/>
    </row>
    <row r="69" spans="1:9" x14ac:dyDescent="0.25">
      <c r="A69" s="10">
        <v>18</v>
      </c>
      <c r="B69" s="10" t="s">
        <v>9</v>
      </c>
      <c r="C69" s="46" t="s">
        <v>270</v>
      </c>
      <c r="D69" s="10">
        <v>34</v>
      </c>
      <c r="E69" s="10">
        <v>22</v>
      </c>
      <c r="F69" s="10">
        <f t="shared" si="0"/>
        <v>12</v>
      </c>
      <c r="G69" s="11" t="s">
        <v>607</v>
      </c>
      <c r="H69" t="s">
        <v>742</v>
      </c>
    </row>
    <row r="70" spans="1:9" x14ac:dyDescent="0.25">
      <c r="A70" s="10">
        <v>18</v>
      </c>
      <c r="B70" s="10" t="s">
        <v>9</v>
      </c>
      <c r="C70" s="46" t="s">
        <v>671</v>
      </c>
      <c r="D70" s="10">
        <v>6</v>
      </c>
      <c r="E70" s="10">
        <v>2</v>
      </c>
      <c r="F70" s="10">
        <f t="shared" si="0"/>
        <v>4</v>
      </c>
      <c r="G70" s="11"/>
    </row>
    <row r="71" spans="1:9" x14ac:dyDescent="0.25">
      <c r="A71" s="10">
        <v>18</v>
      </c>
      <c r="B71" s="10" t="s">
        <v>9</v>
      </c>
      <c r="C71" s="46" t="s">
        <v>541</v>
      </c>
      <c r="D71" s="10">
        <v>12</v>
      </c>
      <c r="E71" s="10">
        <v>4</v>
      </c>
      <c r="F71" s="10">
        <f t="shared" si="0"/>
        <v>8</v>
      </c>
      <c r="G71" s="11" t="s">
        <v>542</v>
      </c>
    </row>
    <row r="72" spans="1:9" x14ac:dyDescent="0.25">
      <c r="A72" s="10">
        <v>18</v>
      </c>
      <c r="B72" s="10" t="s">
        <v>9</v>
      </c>
      <c r="C72" s="46" t="s">
        <v>903</v>
      </c>
      <c r="D72" s="10">
        <v>2</v>
      </c>
      <c r="E72" s="10"/>
      <c r="F72" s="10">
        <f t="shared" si="0"/>
        <v>2</v>
      </c>
      <c r="G72" s="11"/>
    </row>
    <row r="73" spans="1:9" x14ac:dyDescent="0.25">
      <c r="A73" s="10">
        <v>18</v>
      </c>
      <c r="B73" s="10" t="s">
        <v>9</v>
      </c>
      <c r="C73" s="46" t="s">
        <v>426</v>
      </c>
      <c r="D73" s="10">
        <v>34</v>
      </c>
      <c r="E73" s="10">
        <v>20</v>
      </c>
      <c r="F73" s="10">
        <f t="shared" si="0"/>
        <v>14</v>
      </c>
      <c r="G73" s="11" t="s">
        <v>1006</v>
      </c>
    </row>
    <row r="74" spans="1:9" x14ac:dyDescent="0.25">
      <c r="A74" s="10">
        <v>18</v>
      </c>
      <c r="B74" s="10" t="s">
        <v>9</v>
      </c>
      <c r="C74" s="46" t="s">
        <v>69</v>
      </c>
      <c r="D74" s="10">
        <v>14</v>
      </c>
      <c r="E74" s="10">
        <v>8</v>
      </c>
      <c r="F74" s="10">
        <f t="shared" si="0"/>
        <v>6</v>
      </c>
      <c r="G74" s="11"/>
    </row>
    <row r="75" spans="1:9" x14ac:dyDescent="0.25">
      <c r="A75" s="10">
        <v>18</v>
      </c>
      <c r="B75" s="10" t="s">
        <v>9</v>
      </c>
      <c r="C75" s="46" t="s">
        <v>327</v>
      </c>
      <c r="D75" s="10">
        <v>26</v>
      </c>
      <c r="E75" s="10">
        <v>18</v>
      </c>
      <c r="F75" s="10">
        <f t="shared" si="0"/>
        <v>8</v>
      </c>
      <c r="G75" s="11" t="s">
        <v>504</v>
      </c>
    </row>
    <row r="76" spans="1:9" x14ac:dyDescent="0.25">
      <c r="A76" s="10">
        <v>18</v>
      </c>
      <c r="B76" s="10" t="s">
        <v>9</v>
      </c>
      <c r="C76" s="46" t="s">
        <v>359</v>
      </c>
      <c r="D76" s="10">
        <v>8</v>
      </c>
      <c r="E76" s="10">
        <v>2</v>
      </c>
      <c r="F76" s="10">
        <f t="shared" si="0"/>
        <v>6</v>
      </c>
      <c r="G76" s="11" t="s">
        <v>896</v>
      </c>
    </row>
    <row r="77" spans="1:9" x14ac:dyDescent="0.25">
      <c r="A77" s="10">
        <v>18</v>
      </c>
      <c r="B77" s="10" t="s">
        <v>9</v>
      </c>
      <c r="C77" s="46" t="s">
        <v>144</v>
      </c>
      <c r="D77" s="10">
        <v>66</v>
      </c>
      <c r="E77" s="10">
        <v>42</v>
      </c>
      <c r="F77" s="10">
        <f>D77-E77</f>
        <v>24</v>
      </c>
      <c r="G77" s="11" t="s">
        <v>618</v>
      </c>
      <c r="H77" t="s">
        <v>746</v>
      </c>
      <c r="I77" t="s">
        <v>406</v>
      </c>
    </row>
    <row r="78" spans="1:9" x14ac:dyDescent="0.25">
      <c r="A78" s="10">
        <v>18</v>
      </c>
      <c r="B78" s="10" t="s">
        <v>9</v>
      </c>
      <c r="C78" s="46" t="s">
        <v>277</v>
      </c>
      <c r="D78" s="10">
        <v>12</v>
      </c>
      <c r="E78" s="10">
        <v>8</v>
      </c>
      <c r="F78" s="10">
        <f>D78-E78</f>
        <v>4</v>
      </c>
      <c r="G78" s="11" t="s">
        <v>523</v>
      </c>
    </row>
    <row r="79" spans="1:9" x14ac:dyDescent="0.25">
      <c r="A79" s="10">
        <v>18</v>
      </c>
      <c r="B79" s="10" t="s">
        <v>9</v>
      </c>
      <c r="C79" s="46" t="s">
        <v>22</v>
      </c>
      <c r="D79" s="10">
        <v>64</v>
      </c>
      <c r="E79" s="10">
        <v>42</v>
      </c>
      <c r="F79" s="10">
        <f t="shared" si="0"/>
        <v>22</v>
      </c>
      <c r="G79" s="11" t="s">
        <v>28</v>
      </c>
      <c r="H79" s="152" t="s">
        <v>902</v>
      </c>
      <c r="I79" t="s">
        <v>605</v>
      </c>
    </row>
    <row r="80" spans="1:9" x14ac:dyDescent="0.25">
      <c r="A80" s="10">
        <v>18</v>
      </c>
      <c r="B80" s="10" t="s">
        <v>9</v>
      </c>
      <c r="C80" s="46" t="s">
        <v>806</v>
      </c>
      <c r="D80" s="10">
        <v>6</v>
      </c>
      <c r="E80" s="10">
        <v>2</v>
      </c>
      <c r="F80" s="10">
        <f t="shared" si="0"/>
        <v>4</v>
      </c>
      <c r="G80" s="11" t="s">
        <v>159</v>
      </c>
      <c r="H80" s="152"/>
    </row>
    <row r="81" spans="1:8" x14ac:dyDescent="0.25">
      <c r="A81" s="10">
        <v>18</v>
      </c>
      <c r="B81" s="10" t="s">
        <v>9</v>
      </c>
      <c r="C81" s="46" t="s">
        <v>640</v>
      </c>
      <c r="D81" s="10">
        <v>4</v>
      </c>
      <c r="E81" s="10"/>
      <c r="F81" s="10">
        <f t="shared" si="0"/>
        <v>4</v>
      </c>
      <c r="G81" s="11" t="s">
        <v>667</v>
      </c>
      <c r="H81" s="152"/>
    </row>
    <row r="82" spans="1:8" x14ac:dyDescent="0.25">
      <c r="A82" s="10">
        <v>18</v>
      </c>
      <c r="B82" s="10" t="s">
        <v>9</v>
      </c>
      <c r="C82" s="46" t="s">
        <v>378</v>
      </c>
      <c r="D82" s="10">
        <v>10</v>
      </c>
      <c r="E82" s="10">
        <v>10</v>
      </c>
      <c r="F82" s="10">
        <f t="shared" si="0"/>
        <v>0</v>
      </c>
      <c r="G82" s="11" t="s">
        <v>28</v>
      </c>
      <c r="H82" s="152">
        <v>2017</v>
      </c>
    </row>
    <row r="83" spans="1:8" x14ac:dyDescent="0.25">
      <c r="A83" s="76"/>
      <c r="B83" s="76" t="s">
        <v>26</v>
      </c>
      <c r="C83" s="78"/>
      <c r="D83" s="76"/>
      <c r="E83" s="76"/>
      <c r="F83" s="76"/>
      <c r="G83" s="78"/>
    </row>
    <row r="84" spans="1:8" x14ac:dyDescent="0.25">
      <c r="A84" s="10">
        <v>18</v>
      </c>
      <c r="B84" s="10" t="s">
        <v>26</v>
      </c>
      <c r="C84" s="46" t="s">
        <v>579</v>
      </c>
      <c r="D84" s="10">
        <v>20</v>
      </c>
      <c r="E84" s="10">
        <v>12</v>
      </c>
      <c r="F84" s="10">
        <f t="shared" si="0"/>
        <v>8</v>
      </c>
      <c r="G84" s="11"/>
    </row>
    <row r="85" spans="1:8" x14ac:dyDescent="0.25">
      <c r="A85" s="10">
        <v>18</v>
      </c>
      <c r="B85" s="10" t="s">
        <v>26</v>
      </c>
      <c r="C85" s="46" t="s">
        <v>805</v>
      </c>
      <c r="D85" s="10">
        <v>4</v>
      </c>
      <c r="E85" s="10">
        <v>4</v>
      </c>
      <c r="F85" s="10">
        <f t="shared" si="0"/>
        <v>0</v>
      </c>
      <c r="G85" s="11" t="s">
        <v>375</v>
      </c>
    </row>
    <row r="86" spans="1:8" x14ac:dyDescent="0.25">
      <c r="A86" s="10">
        <v>18</v>
      </c>
      <c r="B86" s="10" t="s">
        <v>26</v>
      </c>
      <c r="C86" s="46" t="s">
        <v>274</v>
      </c>
      <c r="D86" s="10">
        <v>4</v>
      </c>
      <c r="E86" s="10">
        <v>4</v>
      </c>
      <c r="F86" s="10">
        <f t="shared" si="0"/>
        <v>0</v>
      </c>
      <c r="G86" s="11" t="s">
        <v>159</v>
      </c>
    </row>
    <row r="87" spans="1:8" x14ac:dyDescent="0.25">
      <c r="A87" s="10">
        <v>18</v>
      </c>
      <c r="B87" s="10" t="s">
        <v>26</v>
      </c>
      <c r="C87" s="46" t="s">
        <v>413</v>
      </c>
      <c r="D87" s="10">
        <v>22</v>
      </c>
      <c r="E87" s="10">
        <v>20</v>
      </c>
      <c r="F87" s="10">
        <f t="shared" si="0"/>
        <v>2</v>
      </c>
      <c r="G87" s="11"/>
    </row>
    <row r="88" spans="1:8" x14ac:dyDescent="0.25">
      <c r="A88" s="10">
        <v>18</v>
      </c>
      <c r="B88" s="10" t="s">
        <v>26</v>
      </c>
      <c r="C88" s="46" t="s">
        <v>359</v>
      </c>
      <c r="D88" s="10">
        <v>28</v>
      </c>
      <c r="E88" s="10">
        <v>20</v>
      </c>
      <c r="F88" s="10">
        <f>D88-E88</f>
        <v>8</v>
      </c>
      <c r="G88" s="11" t="s">
        <v>607</v>
      </c>
    </row>
    <row r="89" spans="1:8" x14ac:dyDescent="0.25">
      <c r="A89" s="10">
        <v>18</v>
      </c>
      <c r="B89" s="10" t="s">
        <v>26</v>
      </c>
      <c r="C89" s="46" t="s">
        <v>40</v>
      </c>
      <c r="D89" s="10">
        <v>8</v>
      </c>
      <c r="E89" s="10">
        <v>8</v>
      </c>
      <c r="F89" s="10">
        <f t="shared" si="0"/>
        <v>0</v>
      </c>
      <c r="G89" s="11"/>
    </row>
    <row r="90" spans="1:8" x14ac:dyDescent="0.25">
      <c r="A90" s="10">
        <v>18</v>
      </c>
      <c r="B90" s="10" t="s">
        <v>26</v>
      </c>
      <c r="C90" s="46" t="s">
        <v>716</v>
      </c>
      <c r="D90" s="10">
        <v>2</v>
      </c>
      <c r="E90" s="10">
        <v>2</v>
      </c>
      <c r="F90" s="10">
        <f t="shared" si="0"/>
        <v>0</v>
      </c>
      <c r="G90" s="11"/>
    </row>
    <row r="91" spans="1:8" x14ac:dyDescent="0.25">
      <c r="A91" s="10">
        <v>18</v>
      </c>
      <c r="B91" s="10" t="s">
        <v>26</v>
      </c>
      <c r="C91" s="46" t="s">
        <v>186</v>
      </c>
      <c r="D91" s="10">
        <v>16</v>
      </c>
      <c r="E91" s="10">
        <v>12</v>
      </c>
      <c r="F91" s="10">
        <f t="shared" si="0"/>
        <v>4</v>
      </c>
      <c r="G91" s="11" t="s">
        <v>159</v>
      </c>
    </row>
    <row r="92" spans="1:8" x14ac:dyDescent="0.25">
      <c r="A92" s="10">
        <v>18</v>
      </c>
      <c r="B92" s="10" t="s">
        <v>26</v>
      </c>
      <c r="C92" s="46" t="s">
        <v>69</v>
      </c>
      <c r="D92" s="10">
        <v>44</v>
      </c>
      <c r="E92" s="10">
        <v>34</v>
      </c>
      <c r="F92" s="10">
        <f t="shared" si="0"/>
        <v>10</v>
      </c>
      <c r="G92" s="11"/>
    </row>
    <row r="93" spans="1:8" x14ac:dyDescent="0.25">
      <c r="A93" s="10">
        <v>18</v>
      </c>
      <c r="B93" s="10" t="s">
        <v>26</v>
      </c>
      <c r="C93" s="46" t="s">
        <v>402</v>
      </c>
      <c r="D93" s="10">
        <v>58</v>
      </c>
      <c r="E93" s="10">
        <v>48</v>
      </c>
      <c r="F93" s="10">
        <f t="shared" si="0"/>
        <v>10</v>
      </c>
      <c r="G93" s="164" t="s">
        <v>857</v>
      </c>
      <c r="H93" s="151" t="s">
        <v>1068</v>
      </c>
    </row>
    <row r="94" spans="1:8" x14ac:dyDescent="0.25">
      <c r="A94" s="10">
        <v>18</v>
      </c>
      <c r="B94" s="10" t="s">
        <v>26</v>
      </c>
      <c r="C94" s="46" t="s">
        <v>462</v>
      </c>
      <c r="D94" s="10">
        <v>8</v>
      </c>
      <c r="E94" s="10">
        <v>8</v>
      </c>
      <c r="F94" s="10">
        <f t="shared" si="0"/>
        <v>0</v>
      </c>
      <c r="G94" s="11"/>
      <c r="H94" s="151"/>
    </row>
    <row r="95" spans="1:8" x14ac:dyDescent="0.25">
      <c r="A95" s="10">
        <v>18</v>
      </c>
      <c r="B95" s="10" t="s">
        <v>26</v>
      </c>
      <c r="C95" s="46" t="s">
        <v>608</v>
      </c>
      <c r="D95" s="10">
        <v>24</v>
      </c>
      <c r="E95" s="10">
        <v>10</v>
      </c>
      <c r="F95" s="10">
        <f t="shared" si="0"/>
        <v>14</v>
      </c>
      <c r="G95" s="11" t="s">
        <v>896</v>
      </c>
      <c r="H95" s="152">
        <v>21</v>
      </c>
    </row>
    <row r="96" spans="1:8" x14ac:dyDescent="0.25">
      <c r="A96" s="10">
        <v>18</v>
      </c>
      <c r="B96" s="10" t="s">
        <v>26</v>
      </c>
      <c r="C96" s="46" t="s">
        <v>435</v>
      </c>
      <c r="D96" s="10">
        <v>4</v>
      </c>
      <c r="E96" s="10"/>
      <c r="F96" s="10">
        <f t="shared" si="0"/>
        <v>4</v>
      </c>
      <c r="G96" s="11"/>
      <c r="H96" s="152"/>
    </row>
    <row r="97" spans="1:8" x14ac:dyDescent="0.25">
      <c r="A97" s="10">
        <v>18</v>
      </c>
      <c r="B97" s="10" t="s">
        <v>26</v>
      </c>
      <c r="C97" s="46" t="s">
        <v>290</v>
      </c>
      <c r="D97" s="10">
        <v>18</v>
      </c>
      <c r="E97" s="10">
        <v>16</v>
      </c>
      <c r="F97" s="10">
        <f t="shared" si="0"/>
        <v>2</v>
      </c>
      <c r="G97" s="11" t="s">
        <v>159</v>
      </c>
    </row>
    <row r="98" spans="1:8" x14ac:dyDescent="0.25">
      <c r="A98" s="76"/>
      <c r="B98" s="76" t="s">
        <v>30</v>
      </c>
      <c r="C98" s="78"/>
      <c r="D98" s="76"/>
      <c r="E98" s="76"/>
      <c r="F98" s="76"/>
      <c r="G98" s="78"/>
    </row>
    <row r="99" spans="1:8" x14ac:dyDescent="0.25">
      <c r="A99" s="10">
        <v>18</v>
      </c>
      <c r="B99" s="10" t="s">
        <v>30</v>
      </c>
      <c r="C99" s="46" t="s">
        <v>227</v>
      </c>
      <c r="D99" s="10">
        <v>18</v>
      </c>
      <c r="E99" s="10">
        <v>12</v>
      </c>
      <c r="F99" s="10">
        <f t="shared" si="0"/>
        <v>6</v>
      </c>
      <c r="G99" s="11"/>
    </row>
    <row r="100" spans="1:8" x14ac:dyDescent="0.25">
      <c r="A100" s="10">
        <v>18</v>
      </c>
      <c r="B100" s="10" t="s">
        <v>30</v>
      </c>
      <c r="C100" s="46" t="s">
        <v>666</v>
      </c>
      <c r="D100" s="10">
        <v>8</v>
      </c>
      <c r="E100" s="10">
        <v>4</v>
      </c>
      <c r="F100" s="10">
        <f t="shared" si="0"/>
        <v>4</v>
      </c>
      <c r="G100" s="11" t="s">
        <v>667</v>
      </c>
    </row>
    <row r="101" spans="1:8" x14ac:dyDescent="0.25">
      <c r="A101" s="10">
        <v>18</v>
      </c>
      <c r="B101" s="10" t="s">
        <v>30</v>
      </c>
      <c r="C101" s="46" t="s">
        <v>270</v>
      </c>
      <c r="D101" s="10">
        <v>18</v>
      </c>
      <c r="E101" s="10">
        <v>18</v>
      </c>
      <c r="F101" s="10">
        <f t="shared" si="0"/>
        <v>0</v>
      </c>
      <c r="G101" s="11"/>
    </row>
    <row r="102" spans="1:8" x14ac:dyDescent="0.25">
      <c r="A102" s="10">
        <v>18</v>
      </c>
      <c r="B102" s="10" t="s">
        <v>30</v>
      </c>
      <c r="C102" s="46" t="s">
        <v>897</v>
      </c>
      <c r="D102" s="10">
        <v>10</v>
      </c>
      <c r="E102" s="10">
        <v>4</v>
      </c>
      <c r="F102" s="10">
        <f t="shared" si="0"/>
        <v>6</v>
      </c>
      <c r="G102" s="11" t="s">
        <v>915</v>
      </c>
    </row>
    <row r="103" spans="1:8" x14ac:dyDescent="0.25">
      <c r="A103" s="10">
        <v>18</v>
      </c>
      <c r="B103" s="10" t="s">
        <v>30</v>
      </c>
      <c r="C103" s="46" t="s">
        <v>363</v>
      </c>
      <c r="D103" s="10">
        <v>18</v>
      </c>
      <c r="E103" s="10">
        <v>10</v>
      </c>
      <c r="F103" s="10">
        <f t="shared" si="0"/>
        <v>8</v>
      </c>
      <c r="G103" s="11" t="s">
        <v>915</v>
      </c>
    </row>
    <row r="104" spans="1:8" x14ac:dyDescent="0.25">
      <c r="A104" s="10">
        <v>18</v>
      </c>
      <c r="B104" s="10" t="s">
        <v>30</v>
      </c>
      <c r="C104" s="46" t="s">
        <v>908</v>
      </c>
      <c r="D104" s="10">
        <v>8</v>
      </c>
      <c r="E104" s="10">
        <v>4</v>
      </c>
      <c r="F104" s="10">
        <f t="shared" si="0"/>
        <v>4</v>
      </c>
      <c r="G104" s="11"/>
    </row>
    <row r="105" spans="1:8" x14ac:dyDescent="0.25">
      <c r="A105" s="10">
        <v>18</v>
      </c>
      <c r="B105" s="10" t="s">
        <v>30</v>
      </c>
      <c r="C105" s="46" t="s">
        <v>163</v>
      </c>
      <c r="D105" s="10">
        <v>42</v>
      </c>
      <c r="E105" s="10">
        <v>38</v>
      </c>
      <c r="F105" s="10">
        <f t="shared" si="0"/>
        <v>4</v>
      </c>
      <c r="G105" s="11" t="s">
        <v>159</v>
      </c>
      <c r="H105" t="s">
        <v>207</v>
      </c>
    </row>
    <row r="106" spans="1:8" x14ac:dyDescent="0.25">
      <c r="A106" s="76"/>
      <c r="B106" s="76" t="s">
        <v>194</v>
      </c>
      <c r="C106" s="78"/>
      <c r="D106" s="76"/>
      <c r="E106" s="76"/>
      <c r="F106" s="76"/>
      <c r="G106" s="78"/>
    </row>
    <row r="107" spans="1:8" x14ac:dyDescent="0.25">
      <c r="A107" s="10">
        <v>18</v>
      </c>
      <c r="B107" s="10" t="s">
        <v>25</v>
      </c>
      <c r="C107" s="46" t="s">
        <v>98</v>
      </c>
      <c r="D107" s="10">
        <v>20</v>
      </c>
      <c r="E107" s="10">
        <v>16</v>
      </c>
      <c r="F107" s="10">
        <f t="shared" si="0"/>
        <v>4</v>
      </c>
      <c r="G107" s="11" t="s">
        <v>811</v>
      </c>
    </row>
    <row r="108" spans="1:8" x14ac:dyDescent="0.25">
      <c r="A108" s="10">
        <v>18</v>
      </c>
      <c r="B108" s="10" t="s">
        <v>25</v>
      </c>
      <c r="C108" s="46" t="s">
        <v>426</v>
      </c>
      <c r="D108" s="10">
        <v>18</v>
      </c>
      <c r="E108" s="10">
        <v>18</v>
      </c>
      <c r="F108" s="10">
        <f t="shared" si="0"/>
        <v>0</v>
      </c>
      <c r="G108" s="11"/>
    </row>
    <row r="109" spans="1:8" x14ac:dyDescent="0.25">
      <c r="A109" s="10">
        <v>18</v>
      </c>
      <c r="B109" s="10" t="s">
        <v>25</v>
      </c>
      <c r="C109" s="46" t="s">
        <v>398</v>
      </c>
      <c r="D109" s="10">
        <v>12</v>
      </c>
      <c r="E109" s="10">
        <v>12</v>
      </c>
      <c r="F109" s="10">
        <f t="shared" si="0"/>
        <v>0</v>
      </c>
      <c r="G109" s="11" t="s">
        <v>607</v>
      </c>
      <c r="H109" s="152">
        <v>2021</v>
      </c>
    </row>
    <row r="110" spans="1:8" x14ac:dyDescent="0.25">
      <c r="A110" s="10">
        <v>18</v>
      </c>
      <c r="B110" s="10" t="s">
        <v>25</v>
      </c>
      <c r="C110" s="46" t="s">
        <v>619</v>
      </c>
      <c r="D110" s="10">
        <v>2</v>
      </c>
      <c r="E110" s="10">
        <v>2</v>
      </c>
      <c r="F110" s="10">
        <f t="shared" si="0"/>
        <v>0</v>
      </c>
      <c r="G110" s="11" t="s">
        <v>159</v>
      </c>
    </row>
    <row r="111" spans="1:8" x14ac:dyDescent="0.25">
      <c r="A111" s="10">
        <v>18</v>
      </c>
      <c r="B111" s="10" t="s">
        <v>25</v>
      </c>
      <c r="C111" s="46" t="s">
        <v>284</v>
      </c>
      <c r="D111" s="10">
        <v>2</v>
      </c>
      <c r="E111" s="10">
        <v>2</v>
      </c>
      <c r="F111" s="10">
        <f t="shared" si="0"/>
        <v>0</v>
      </c>
      <c r="G111" s="11"/>
    </row>
    <row r="112" spans="1:8" x14ac:dyDescent="0.25">
      <c r="A112" s="10">
        <v>18</v>
      </c>
      <c r="B112" s="10" t="s">
        <v>25</v>
      </c>
      <c r="C112" s="46" t="s">
        <v>271</v>
      </c>
      <c r="D112" s="10">
        <v>12</v>
      </c>
      <c r="E112" s="10">
        <v>12</v>
      </c>
      <c r="F112" s="10">
        <f t="shared" si="0"/>
        <v>0</v>
      </c>
      <c r="G112" s="11"/>
    </row>
    <row r="113" spans="1:8" x14ac:dyDescent="0.25">
      <c r="A113" s="10">
        <v>18</v>
      </c>
      <c r="B113" s="10" t="s">
        <v>25</v>
      </c>
      <c r="C113" s="46" t="s">
        <v>924</v>
      </c>
      <c r="D113" s="10">
        <v>6</v>
      </c>
      <c r="E113" s="10">
        <v>2</v>
      </c>
      <c r="F113" s="10">
        <f t="shared" si="0"/>
        <v>4</v>
      </c>
      <c r="G113" s="11" t="s">
        <v>159</v>
      </c>
    </row>
    <row r="114" spans="1:8" x14ac:dyDescent="0.25">
      <c r="A114" s="10">
        <v>18</v>
      </c>
      <c r="B114" s="10" t="s">
        <v>25</v>
      </c>
      <c r="C114" s="46" t="s">
        <v>672</v>
      </c>
      <c r="D114" s="10">
        <v>6</v>
      </c>
      <c r="E114" s="10">
        <v>6</v>
      </c>
      <c r="F114" s="10">
        <f t="shared" si="0"/>
        <v>0</v>
      </c>
      <c r="G114" s="11"/>
    </row>
    <row r="115" spans="1:8" x14ac:dyDescent="0.25">
      <c r="A115" s="10">
        <v>18</v>
      </c>
      <c r="B115" s="10" t="s">
        <v>25</v>
      </c>
      <c r="C115" s="46" t="s">
        <v>275</v>
      </c>
      <c r="D115" s="10">
        <v>24</v>
      </c>
      <c r="E115" s="10">
        <v>20</v>
      </c>
      <c r="F115" s="10">
        <f t="shared" si="0"/>
        <v>4</v>
      </c>
      <c r="G115" s="11" t="s">
        <v>354</v>
      </c>
      <c r="H115">
        <v>2021</v>
      </c>
    </row>
    <row r="116" spans="1:8" x14ac:dyDescent="0.25">
      <c r="A116" s="10">
        <v>18</v>
      </c>
      <c r="B116" s="10" t="s">
        <v>25</v>
      </c>
      <c r="C116" s="46" t="s">
        <v>1071</v>
      </c>
      <c r="D116" s="10">
        <v>32</v>
      </c>
      <c r="E116" s="10">
        <v>12</v>
      </c>
      <c r="F116" s="10">
        <f t="shared" si="0"/>
        <v>20</v>
      </c>
      <c r="G116" s="11" t="s">
        <v>354</v>
      </c>
    </row>
    <row r="117" spans="1:8" x14ac:dyDescent="0.25">
      <c r="A117" s="103"/>
      <c r="B117" s="103">
        <v>23</v>
      </c>
      <c r="C117" s="115">
        <v>23</v>
      </c>
      <c r="D117" s="103"/>
      <c r="E117" s="103"/>
      <c r="F117" s="103"/>
      <c r="G117" s="115"/>
    </row>
    <row r="118" spans="1:8" x14ac:dyDescent="0.25">
      <c r="A118" s="10">
        <v>18</v>
      </c>
      <c r="B118" s="10" t="s">
        <v>21</v>
      </c>
      <c r="C118" s="46" t="s">
        <v>608</v>
      </c>
      <c r="D118" s="10">
        <v>16</v>
      </c>
      <c r="E118" s="10">
        <v>16</v>
      </c>
      <c r="F118" s="10">
        <f t="shared" si="0"/>
        <v>0</v>
      </c>
      <c r="G118" s="11" t="s">
        <v>607</v>
      </c>
    </row>
    <row r="119" spans="1:8" x14ac:dyDescent="0.25">
      <c r="A119" s="10">
        <v>18</v>
      </c>
      <c r="B119" s="10" t="s">
        <v>21</v>
      </c>
      <c r="C119" s="46" t="s">
        <v>601</v>
      </c>
      <c r="D119" s="10">
        <v>4</v>
      </c>
      <c r="E119" s="10">
        <v>4</v>
      </c>
      <c r="F119" s="10">
        <f t="shared" si="0"/>
        <v>0</v>
      </c>
      <c r="G119" s="11" t="s">
        <v>607</v>
      </c>
    </row>
    <row r="120" spans="1:8" x14ac:dyDescent="0.25">
      <c r="A120" s="10">
        <v>18</v>
      </c>
      <c r="B120" s="10" t="s">
        <v>21</v>
      </c>
      <c r="C120" s="46" t="s">
        <v>366</v>
      </c>
      <c r="D120" s="10">
        <v>8</v>
      </c>
      <c r="E120" s="10">
        <v>8</v>
      </c>
      <c r="F120" s="10">
        <f t="shared" si="0"/>
        <v>0</v>
      </c>
      <c r="G120" s="11"/>
    </row>
    <row r="121" spans="1:8" x14ac:dyDescent="0.25">
      <c r="A121" s="10">
        <v>18</v>
      </c>
      <c r="B121" s="10" t="s">
        <v>21</v>
      </c>
      <c r="C121" s="46" t="s">
        <v>864</v>
      </c>
      <c r="D121" s="10">
        <v>22</v>
      </c>
      <c r="E121" s="10">
        <v>20</v>
      </c>
      <c r="F121" s="10">
        <f t="shared" si="0"/>
        <v>2</v>
      </c>
      <c r="G121" s="11" t="s">
        <v>607</v>
      </c>
    </row>
    <row r="122" spans="1:8" x14ac:dyDescent="0.25">
      <c r="A122" s="10">
        <v>18</v>
      </c>
      <c r="B122" s="10" t="s">
        <v>21</v>
      </c>
      <c r="C122" s="46" t="s">
        <v>230</v>
      </c>
      <c r="D122" s="10">
        <v>10</v>
      </c>
      <c r="E122" s="10">
        <v>10</v>
      </c>
      <c r="F122" s="10">
        <f t="shared" si="0"/>
        <v>0</v>
      </c>
      <c r="G122" s="11" t="s">
        <v>159</v>
      </c>
    </row>
    <row r="123" spans="1:8" x14ac:dyDescent="0.25">
      <c r="A123" s="10">
        <v>18</v>
      </c>
      <c r="B123" s="10" t="s">
        <v>21</v>
      </c>
      <c r="C123" s="46" t="s">
        <v>645</v>
      </c>
      <c r="D123" s="10">
        <v>164</v>
      </c>
      <c r="E123" s="10">
        <v>152</v>
      </c>
      <c r="F123" s="10">
        <f t="shared" si="0"/>
        <v>12</v>
      </c>
      <c r="G123" s="11" t="s">
        <v>1098</v>
      </c>
      <c r="H123" t="s">
        <v>458</v>
      </c>
    </row>
    <row r="124" spans="1:8" x14ac:dyDescent="0.25">
      <c r="A124" s="10">
        <v>18</v>
      </c>
      <c r="B124" s="10" t="s">
        <v>21</v>
      </c>
      <c r="C124" s="46" t="s">
        <v>509</v>
      </c>
      <c r="D124" s="10">
        <v>12</v>
      </c>
      <c r="E124" s="10">
        <v>8</v>
      </c>
      <c r="F124" s="10">
        <f t="shared" si="0"/>
        <v>4</v>
      </c>
      <c r="G124" s="11" t="s">
        <v>159</v>
      </c>
    </row>
    <row r="125" spans="1:8" x14ac:dyDescent="0.25">
      <c r="A125" s="10">
        <v>18</v>
      </c>
      <c r="B125" s="10" t="s">
        <v>21</v>
      </c>
      <c r="C125" s="46" t="s">
        <v>329</v>
      </c>
      <c r="D125" s="10">
        <v>12</v>
      </c>
      <c r="E125" s="10">
        <v>12</v>
      </c>
      <c r="F125" s="10">
        <f t="shared" si="0"/>
        <v>0</v>
      </c>
      <c r="G125" s="11" t="s">
        <v>159</v>
      </c>
      <c r="H125" t="s">
        <v>161</v>
      </c>
    </row>
    <row r="126" spans="1:8" x14ac:dyDescent="0.25">
      <c r="A126" s="10">
        <v>18</v>
      </c>
      <c r="B126" s="10" t="s">
        <v>21</v>
      </c>
      <c r="C126" s="46" t="s">
        <v>553</v>
      </c>
      <c r="D126" s="10">
        <v>4</v>
      </c>
      <c r="E126" s="10">
        <v>4</v>
      </c>
      <c r="F126" s="10">
        <f t="shared" si="0"/>
        <v>0</v>
      </c>
      <c r="G126" s="11" t="s">
        <v>159</v>
      </c>
    </row>
    <row r="127" spans="1:8" x14ac:dyDescent="0.25">
      <c r="A127" s="10">
        <v>18</v>
      </c>
      <c r="B127" s="10" t="s">
        <v>21</v>
      </c>
      <c r="C127" s="46" t="s">
        <v>22</v>
      </c>
      <c r="D127" s="10">
        <v>2</v>
      </c>
      <c r="E127" s="10">
        <v>2</v>
      </c>
      <c r="F127" s="10">
        <f t="shared" si="0"/>
        <v>0</v>
      </c>
      <c r="G127" s="11"/>
    </row>
    <row r="128" spans="1:8" x14ac:dyDescent="0.25">
      <c r="A128" s="10">
        <v>18</v>
      </c>
      <c r="B128" s="10" t="s">
        <v>21</v>
      </c>
      <c r="C128" s="46" t="s">
        <v>815</v>
      </c>
      <c r="D128" s="10">
        <v>6</v>
      </c>
      <c r="E128" s="10">
        <v>6</v>
      </c>
      <c r="F128" s="10">
        <f t="shared" si="0"/>
        <v>0</v>
      </c>
      <c r="G128" s="11" t="s">
        <v>354</v>
      </c>
    </row>
    <row r="129" spans="1:8" x14ac:dyDescent="0.25">
      <c r="A129" s="10">
        <v>18</v>
      </c>
      <c r="B129" s="10" t="s">
        <v>21</v>
      </c>
      <c r="C129" s="46" t="s">
        <v>416</v>
      </c>
      <c r="D129" s="10">
        <v>4</v>
      </c>
      <c r="E129" s="10">
        <v>4</v>
      </c>
      <c r="F129" s="10">
        <f t="shared" si="0"/>
        <v>0</v>
      </c>
      <c r="G129" s="11"/>
    </row>
    <row r="130" spans="1:8" x14ac:dyDescent="0.25">
      <c r="A130" s="10">
        <v>18</v>
      </c>
      <c r="B130" s="10" t="s">
        <v>21</v>
      </c>
      <c r="C130" s="46" t="s">
        <v>187</v>
      </c>
      <c r="D130" s="10">
        <v>8</v>
      </c>
      <c r="E130" s="10">
        <v>8</v>
      </c>
      <c r="F130" s="10">
        <f t="shared" si="0"/>
        <v>0</v>
      </c>
      <c r="G130" s="11" t="s">
        <v>159</v>
      </c>
    </row>
    <row r="131" spans="1:8" x14ac:dyDescent="0.25">
      <c r="A131" s="10">
        <v>18</v>
      </c>
      <c r="B131" s="10" t="s">
        <v>21</v>
      </c>
      <c r="C131" s="46" t="s">
        <v>459</v>
      </c>
      <c r="D131" s="10">
        <v>40</v>
      </c>
      <c r="E131" s="10">
        <v>40</v>
      </c>
      <c r="F131" s="10">
        <f t="shared" si="0"/>
        <v>0</v>
      </c>
      <c r="G131" s="11" t="s">
        <v>983</v>
      </c>
    </row>
    <row r="132" spans="1:8" x14ac:dyDescent="0.25">
      <c r="A132" s="10">
        <v>18</v>
      </c>
      <c r="B132" s="10" t="s">
        <v>21</v>
      </c>
      <c r="C132" s="46" t="s">
        <v>69</v>
      </c>
      <c r="D132" s="10">
        <v>4</v>
      </c>
      <c r="E132" s="10">
        <v>4</v>
      </c>
      <c r="F132" s="10">
        <f t="shared" si="0"/>
        <v>0</v>
      </c>
      <c r="G132" s="11"/>
    </row>
    <row r="133" spans="1:8" x14ac:dyDescent="0.25">
      <c r="A133" s="10">
        <v>18</v>
      </c>
      <c r="B133" s="10" t="s">
        <v>21</v>
      </c>
      <c r="C133" s="46" t="s">
        <v>426</v>
      </c>
      <c r="D133" s="10">
        <v>28</v>
      </c>
      <c r="E133" s="10">
        <v>26</v>
      </c>
      <c r="F133" s="10">
        <f t="shared" si="0"/>
        <v>2</v>
      </c>
      <c r="G133" s="11" t="s">
        <v>607</v>
      </c>
    </row>
    <row r="134" spans="1:8" x14ac:dyDescent="0.25">
      <c r="A134" s="10">
        <v>18</v>
      </c>
      <c r="B134" s="10" t="s">
        <v>21</v>
      </c>
      <c r="C134" s="46" t="s">
        <v>1049</v>
      </c>
      <c r="D134" s="10">
        <v>12</v>
      </c>
      <c r="E134" s="10">
        <v>12</v>
      </c>
      <c r="F134" s="10">
        <f t="shared" si="0"/>
        <v>0</v>
      </c>
      <c r="G134" s="11" t="s">
        <v>354</v>
      </c>
      <c r="H134" s="152">
        <v>2024</v>
      </c>
    </row>
    <row r="135" spans="1:8" x14ac:dyDescent="0.25">
      <c r="A135" s="76"/>
      <c r="B135" s="76" t="s">
        <v>39</v>
      </c>
      <c r="C135" s="78"/>
      <c r="D135" s="76"/>
      <c r="E135" s="76"/>
      <c r="F135" s="76"/>
      <c r="G135" s="78"/>
    </row>
    <row r="136" spans="1:8" x14ac:dyDescent="0.25">
      <c r="A136" s="10">
        <v>18</v>
      </c>
      <c r="B136" s="10" t="s">
        <v>39</v>
      </c>
      <c r="C136" s="46" t="s">
        <v>83</v>
      </c>
      <c r="D136" s="10">
        <v>14</v>
      </c>
      <c r="E136" s="10">
        <v>14</v>
      </c>
      <c r="F136" s="10">
        <f t="shared" si="0"/>
        <v>0</v>
      </c>
      <c r="G136" s="11"/>
      <c r="H136" s="108" t="s">
        <v>206</v>
      </c>
    </row>
    <row r="137" spans="1:8" x14ac:dyDescent="0.25">
      <c r="A137" s="10">
        <v>18</v>
      </c>
      <c r="B137" s="10" t="s">
        <v>39</v>
      </c>
      <c r="C137" s="46" t="s">
        <v>862</v>
      </c>
      <c r="D137" s="10">
        <v>16</v>
      </c>
      <c r="E137" s="10">
        <v>16</v>
      </c>
      <c r="F137" s="10">
        <f t="shared" si="0"/>
        <v>0</v>
      </c>
      <c r="G137" s="11" t="s">
        <v>607</v>
      </c>
      <c r="H137" s="108"/>
    </row>
    <row r="138" spans="1:8" x14ac:dyDescent="0.25">
      <c r="A138" s="10">
        <v>18</v>
      </c>
      <c r="B138" s="10" t="s">
        <v>39</v>
      </c>
      <c r="C138" s="46" t="s">
        <v>382</v>
      </c>
      <c r="D138" s="10">
        <v>2</v>
      </c>
      <c r="E138" s="10">
        <v>2</v>
      </c>
      <c r="F138" s="10">
        <f t="shared" si="0"/>
        <v>0</v>
      </c>
      <c r="G138" s="11"/>
    </row>
    <row r="139" spans="1:8" x14ac:dyDescent="0.25">
      <c r="A139" s="10">
        <v>18</v>
      </c>
      <c r="B139" s="10" t="s">
        <v>39</v>
      </c>
      <c r="C139" s="46" t="s">
        <v>123</v>
      </c>
      <c r="D139" s="10">
        <v>4</v>
      </c>
      <c r="E139" s="10">
        <v>4</v>
      </c>
      <c r="F139" s="10">
        <f t="shared" si="0"/>
        <v>0</v>
      </c>
      <c r="G139" s="11"/>
    </row>
    <row r="140" spans="1:8" x14ac:dyDescent="0.25">
      <c r="A140" s="10">
        <v>18</v>
      </c>
      <c r="B140" s="10" t="s">
        <v>39</v>
      </c>
      <c r="C140" s="46" t="s">
        <v>850</v>
      </c>
      <c r="D140" s="10">
        <v>24</v>
      </c>
      <c r="E140" s="10">
        <v>10</v>
      </c>
      <c r="F140" s="10">
        <f t="shared" si="0"/>
        <v>14</v>
      </c>
      <c r="G140" s="11" t="s">
        <v>607</v>
      </c>
    </row>
    <row r="141" spans="1:8" x14ac:dyDescent="0.25">
      <c r="A141" s="10">
        <v>18</v>
      </c>
      <c r="B141" s="10" t="s">
        <v>39</v>
      </c>
      <c r="C141" s="46" t="s">
        <v>426</v>
      </c>
      <c r="D141" s="10">
        <v>20</v>
      </c>
      <c r="E141" s="10">
        <v>20</v>
      </c>
      <c r="F141" s="10">
        <f t="shared" si="0"/>
        <v>0</v>
      </c>
      <c r="G141" s="11" t="s">
        <v>178</v>
      </c>
    </row>
    <row r="142" spans="1:8" x14ac:dyDescent="0.25">
      <c r="A142" s="10">
        <v>18</v>
      </c>
      <c r="B142" s="14" t="s">
        <v>39</v>
      </c>
      <c r="C142" s="46" t="s">
        <v>233</v>
      </c>
      <c r="D142" s="10">
        <v>6</v>
      </c>
      <c r="E142" s="10">
        <v>6</v>
      </c>
      <c r="F142" s="10">
        <f t="shared" si="0"/>
        <v>0</v>
      </c>
      <c r="G142" s="11"/>
    </row>
    <row r="143" spans="1:8" x14ac:dyDescent="0.25">
      <c r="A143" s="10">
        <v>18</v>
      </c>
      <c r="B143" s="14" t="s">
        <v>39</v>
      </c>
      <c r="C143" s="46" t="s">
        <v>119</v>
      </c>
      <c r="D143" s="10">
        <v>8</v>
      </c>
      <c r="E143" s="10">
        <v>8</v>
      </c>
      <c r="F143" s="10">
        <f t="shared" si="0"/>
        <v>0</v>
      </c>
      <c r="G143" s="11"/>
    </row>
    <row r="144" spans="1:8" x14ac:dyDescent="0.25">
      <c r="A144" s="10">
        <v>18</v>
      </c>
      <c r="B144" s="14" t="s">
        <v>39</v>
      </c>
      <c r="C144" s="46" t="s">
        <v>271</v>
      </c>
      <c r="D144" s="10">
        <v>58</v>
      </c>
      <c r="E144" s="10">
        <v>42</v>
      </c>
      <c r="F144" s="10">
        <f t="shared" si="0"/>
        <v>16</v>
      </c>
      <c r="G144" s="11" t="s">
        <v>915</v>
      </c>
    </row>
    <row r="145" spans="1:9" x14ac:dyDescent="0.25">
      <c r="A145" s="10">
        <v>18</v>
      </c>
      <c r="B145" s="14" t="s">
        <v>39</v>
      </c>
      <c r="C145" s="46" t="s">
        <v>289</v>
      </c>
      <c r="D145" s="10">
        <v>2</v>
      </c>
      <c r="E145" s="10">
        <v>2</v>
      </c>
      <c r="F145" s="10">
        <f t="shared" si="0"/>
        <v>0</v>
      </c>
      <c r="G145" s="11" t="s">
        <v>207</v>
      </c>
    </row>
    <row r="146" spans="1:9" x14ac:dyDescent="0.25">
      <c r="A146" s="10">
        <v>18</v>
      </c>
      <c r="B146" s="14" t="s">
        <v>39</v>
      </c>
      <c r="C146" s="46" t="s">
        <v>71</v>
      </c>
      <c r="D146" s="10">
        <v>20</v>
      </c>
      <c r="E146" s="10">
        <v>16</v>
      </c>
      <c r="F146" s="10">
        <f t="shared" si="0"/>
        <v>4</v>
      </c>
      <c r="G146" s="11"/>
    </row>
    <row r="147" spans="1:9" x14ac:dyDescent="0.25">
      <c r="A147" s="10">
        <v>18</v>
      </c>
      <c r="B147" s="14" t="s">
        <v>39</v>
      </c>
      <c r="C147" s="46" t="s">
        <v>189</v>
      </c>
      <c r="D147" s="10">
        <v>4</v>
      </c>
      <c r="E147" s="10">
        <v>4</v>
      </c>
      <c r="F147" s="10">
        <f t="shared" si="0"/>
        <v>0</v>
      </c>
      <c r="G147" s="11" t="s">
        <v>159</v>
      </c>
    </row>
    <row r="148" spans="1:9" x14ac:dyDescent="0.25">
      <c r="A148" s="10">
        <v>18</v>
      </c>
      <c r="B148" s="14" t="s">
        <v>39</v>
      </c>
      <c r="C148" s="46" t="s">
        <v>791</v>
      </c>
      <c r="D148" s="10">
        <v>12</v>
      </c>
      <c r="E148" s="10">
        <v>8</v>
      </c>
      <c r="F148" s="10">
        <f t="shared" si="0"/>
        <v>4</v>
      </c>
      <c r="G148" s="11" t="s">
        <v>787</v>
      </c>
    </row>
    <row r="149" spans="1:9" x14ac:dyDescent="0.25">
      <c r="A149" s="10">
        <v>18</v>
      </c>
      <c r="B149" s="14" t="s">
        <v>39</v>
      </c>
      <c r="C149" s="46" t="s">
        <v>40</v>
      </c>
      <c r="D149" s="10">
        <v>2</v>
      </c>
      <c r="E149" s="10">
        <v>2</v>
      </c>
      <c r="F149" s="10">
        <f t="shared" si="0"/>
        <v>0</v>
      </c>
      <c r="G149" s="11"/>
    </row>
    <row r="150" spans="1:9" x14ac:dyDescent="0.25">
      <c r="A150" s="10">
        <v>18</v>
      </c>
      <c r="B150" s="14" t="s">
        <v>39</v>
      </c>
      <c r="C150" s="46" t="s">
        <v>906</v>
      </c>
      <c r="D150" s="10">
        <v>6</v>
      </c>
      <c r="E150" s="10">
        <v>2</v>
      </c>
      <c r="F150" s="10">
        <f t="shared" si="0"/>
        <v>4</v>
      </c>
      <c r="G150" s="11"/>
    </row>
    <row r="151" spans="1:9" x14ac:dyDescent="0.25">
      <c r="A151" s="10">
        <v>18</v>
      </c>
      <c r="B151" s="14" t="s">
        <v>39</v>
      </c>
      <c r="C151" s="46" t="s">
        <v>834</v>
      </c>
      <c r="D151" s="10">
        <v>10</v>
      </c>
      <c r="E151" s="10">
        <v>10</v>
      </c>
      <c r="F151" s="10">
        <f t="shared" si="0"/>
        <v>0</v>
      </c>
      <c r="G151" s="11" t="s">
        <v>159</v>
      </c>
    </row>
    <row r="152" spans="1:9" x14ac:dyDescent="0.25">
      <c r="A152" s="10">
        <v>18</v>
      </c>
      <c r="B152" s="14" t="s">
        <v>39</v>
      </c>
      <c r="C152" s="46" t="s">
        <v>815</v>
      </c>
      <c r="D152" s="10">
        <v>8</v>
      </c>
      <c r="E152" s="10">
        <v>8</v>
      </c>
      <c r="F152" s="10">
        <f t="shared" si="0"/>
        <v>0</v>
      </c>
      <c r="G152" s="11" t="s">
        <v>787</v>
      </c>
    </row>
    <row r="153" spans="1:9" x14ac:dyDescent="0.25">
      <c r="A153" s="10">
        <v>18</v>
      </c>
      <c r="B153" s="14" t="s">
        <v>39</v>
      </c>
      <c r="C153" s="46" t="s">
        <v>808</v>
      </c>
      <c r="D153" s="10">
        <v>12</v>
      </c>
      <c r="E153" s="10">
        <v>8</v>
      </c>
      <c r="F153" s="10">
        <f t="shared" si="0"/>
        <v>4</v>
      </c>
      <c r="G153" s="11" t="s">
        <v>159</v>
      </c>
    </row>
    <row r="154" spans="1:9" x14ac:dyDescent="0.25">
      <c r="A154" s="10">
        <v>18</v>
      </c>
      <c r="B154" s="14" t="s">
        <v>39</v>
      </c>
      <c r="C154" s="46" t="s">
        <v>452</v>
      </c>
      <c r="D154" s="10">
        <v>6</v>
      </c>
      <c r="E154" s="10">
        <v>4</v>
      </c>
      <c r="F154" s="10">
        <f t="shared" si="0"/>
        <v>2</v>
      </c>
      <c r="G154" s="11"/>
    </row>
    <row r="155" spans="1:9" x14ac:dyDescent="0.25">
      <c r="A155" s="76"/>
      <c r="B155" s="76" t="s">
        <v>14</v>
      </c>
      <c r="C155" s="78"/>
      <c r="D155" s="76"/>
      <c r="E155" s="76"/>
      <c r="F155" s="76"/>
      <c r="G155" s="78"/>
      <c r="I155" t="s">
        <v>207</v>
      </c>
    </row>
    <row r="156" spans="1:9" x14ac:dyDescent="0.25">
      <c r="A156" s="10">
        <v>18</v>
      </c>
      <c r="B156" s="14" t="s">
        <v>14</v>
      </c>
      <c r="C156" s="46" t="s">
        <v>462</v>
      </c>
      <c r="D156" s="10">
        <v>16</v>
      </c>
      <c r="E156" s="10">
        <v>16</v>
      </c>
      <c r="F156" s="10">
        <f t="shared" si="0"/>
        <v>0</v>
      </c>
      <c r="G156" s="11"/>
    </row>
    <row r="157" spans="1:9" x14ac:dyDescent="0.25">
      <c r="A157" s="10">
        <v>18</v>
      </c>
      <c r="B157" s="14" t="s">
        <v>14</v>
      </c>
      <c r="C157" s="46" t="s">
        <v>419</v>
      </c>
      <c r="D157" s="10">
        <v>18</v>
      </c>
      <c r="E157" s="10">
        <v>14</v>
      </c>
      <c r="F157" s="10">
        <f t="shared" si="0"/>
        <v>4</v>
      </c>
      <c r="G157" s="11" t="s">
        <v>983</v>
      </c>
    </row>
    <row r="158" spans="1:9" x14ac:dyDescent="0.25">
      <c r="A158" s="10">
        <v>18</v>
      </c>
      <c r="B158" s="14" t="s">
        <v>14</v>
      </c>
      <c r="C158" s="46" t="s">
        <v>297</v>
      </c>
      <c r="D158" s="10">
        <v>30</v>
      </c>
      <c r="E158" s="10">
        <v>26</v>
      </c>
      <c r="F158" s="10">
        <f t="shared" si="0"/>
        <v>4</v>
      </c>
      <c r="G158" s="11" t="s">
        <v>159</v>
      </c>
    </row>
    <row r="159" spans="1:9" x14ac:dyDescent="0.25">
      <c r="A159" s="10">
        <v>18</v>
      </c>
      <c r="B159" s="14" t="s">
        <v>14</v>
      </c>
      <c r="C159" s="46" t="s">
        <v>138</v>
      </c>
      <c r="D159" s="10">
        <v>38</v>
      </c>
      <c r="E159" s="10">
        <v>34</v>
      </c>
      <c r="F159" s="10">
        <f t="shared" si="0"/>
        <v>4</v>
      </c>
      <c r="G159" s="11" t="s">
        <v>159</v>
      </c>
    </row>
    <row r="160" spans="1:9" x14ac:dyDescent="0.25">
      <c r="A160" s="10">
        <v>18</v>
      </c>
      <c r="B160" s="14" t="s">
        <v>14</v>
      </c>
      <c r="C160" s="46" t="s">
        <v>359</v>
      </c>
      <c r="D160" s="10">
        <v>8</v>
      </c>
      <c r="E160" s="10"/>
      <c r="F160" s="10">
        <f t="shared" si="0"/>
        <v>8</v>
      </c>
      <c r="G160" s="11" t="s">
        <v>915</v>
      </c>
    </row>
    <row r="161" spans="1:8" x14ac:dyDescent="0.25">
      <c r="A161" s="10">
        <v>18</v>
      </c>
      <c r="B161" s="14" t="s">
        <v>14</v>
      </c>
      <c r="C161" s="46" t="s">
        <v>501</v>
      </c>
      <c r="D161" s="10">
        <v>8</v>
      </c>
      <c r="E161" s="10">
        <v>8</v>
      </c>
      <c r="F161" s="10">
        <f t="shared" si="0"/>
        <v>0</v>
      </c>
      <c r="G161" s="11" t="s">
        <v>159</v>
      </c>
    </row>
    <row r="162" spans="1:8" x14ac:dyDescent="0.25">
      <c r="A162" s="10">
        <v>18</v>
      </c>
      <c r="B162" s="14" t="s">
        <v>14</v>
      </c>
      <c r="C162" s="46" t="s">
        <v>390</v>
      </c>
      <c r="D162" s="10">
        <v>20</v>
      </c>
      <c r="E162" s="10">
        <v>20</v>
      </c>
      <c r="F162" s="10">
        <f t="shared" si="0"/>
        <v>0</v>
      </c>
      <c r="G162" s="11" t="s">
        <v>159</v>
      </c>
    </row>
    <row r="163" spans="1:8" x14ac:dyDescent="0.25">
      <c r="A163" s="10">
        <v>18</v>
      </c>
      <c r="B163" s="14" t="s">
        <v>14</v>
      </c>
      <c r="C163" s="46" t="s">
        <v>532</v>
      </c>
      <c r="D163" s="10">
        <v>20</v>
      </c>
      <c r="E163" s="10">
        <v>4</v>
      </c>
      <c r="F163" s="10">
        <f t="shared" si="0"/>
        <v>16</v>
      </c>
      <c r="G163" s="11" t="s">
        <v>934</v>
      </c>
      <c r="H163" t="s">
        <v>857</v>
      </c>
    </row>
    <row r="164" spans="1:8" x14ac:dyDescent="0.25">
      <c r="A164" s="10">
        <v>18</v>
      </c>
      <c r="B164" s="14" t="s">
        <v>14</v>
      </c>
      <c r="C164" s="46" t="s">
        <v>113</v>
      </c>
      <c r="D164" s="10">
        <v>8</v>
      </c>
      <c r="E164" s="10">
        <v>8</v>
      </c>
      <c r="F164" s="10">
        <f t="shared" si="0"/>
        <v>0</v>
      </c>
      <c r="G164" s="11"/>
    </row>
    <row r="165" spans="1:8" x14ac:dyDescent="0.25">
      <c r="A165" s="10">
        <v>18</v>
      </c>
      <c r="B165" s="14" t="s">
        <v>14</v>
      </c>
      <c r="C165" s="46" t="s">
        <v>589</v>
      </c>
      <c r="D165" s="10">
        <v>34</v>
      </c>
      <c r="E165" s="10">
        <v>34</v>
      </c>
      <c r="F165" s="10">
        <f t="shared" si="0"/>
        <v>0</v>
      </c>
      <c r="G165" s="11" t="s">
        <v>607</v>
      </c>
    </row>
    <row r="166" spans="1:8" x14ac:dyDescent="0.25">
      <c r="A166" s="10">
        <v>18</v>
      </c>
      <c r="B166" s="14" t="s">
        <v>14</v>
      </c>
      <c r="C166" s="46" t="s">
        <v>248</v>
      </c>
      <c r="D166" s="10">
        <v>4</v>
      </c>
      <c r="E166" s="10"/>
      <c r="F166" s="10">
        <f t="shared" si="0"/>
        <v>4</v>
      </c>
      <c r="G166" s="11" t="s">
        <v>393</v>
      </c>
    </row>
    <row r="167" spans="1:8" x14ac:dyDescent="0.25">
      <c r="A167" s="10">
        <v>18</v>
      </c>
      <c r="B167" s="14" t="s">
        <v>14</v>
      </c>
      <c r="C167" s="46" t="s">
        <v>40</v>
      </c>
      <c r="D167" s="10">
        <v>22</v>
      </c>
      <c r="E167" s="10">
        <v>22</v>
      </c>
      <c r="F167" s="10">
        <f t="shared" si="0"/>
        <v>0</v>
      </c>
      <c r="G167" s="11"/>
    </row>
    <row r="168" spans="1:8" x14ac:dyDescent="0.25">
      <c r="A168" s="10">
        <v>18</v>
      </c>
      <c r="B168" s="14" t="s">
        <v>14</v>
      </c>
      <c r="C168" s="46" t="s">
        <v>533</v>
      </c>
      <c r="D168" s="10">
        <v>6</v>
      </c>
      <c r="E168" s="10">
        <v>6</v>
      </c>
      <c r="F168" s="10">
        <f t="shared" si="0"/>
        <v>0</v>
      </c>
      <c r="G168" s="11"/>
    </row>
    <row r="169" spans="1:8" x14ac:dyDescent="0.25">
      <c r="A169" s="10">
        <v>18</v>
      </c>
      <c r="B169" s="14" t="s">
        <v>14</v>
      </c>
      <c r="C169" s="46" t="s">
        <v>923</v>
      </c>
      <c r="D169" s="10">
        <v>32</v>
      </c>
      <c r="E169" s="10">
        <v>30</v>
      </c>
      <c r="F169" s="10">
        <f t="shared" si="0"/>
        <v>2</v>
      </c>
      <c r="G169" s="11"/>
    </row>
    <row r="170" spans="1:8" x14ac:dyDescent="0.25">
      <c r="A170" s="76"/>
      <c r="B170" s="76" t="s">
        <v>17</v>
      </c>
      <c r="C170" s="78"/>
      <c r="D170" s="76"/>
      <c r="E170" s="76"/>
      <c r="F170" s="76"/>
      <c r="G170" s="78"/>
    </row>
    <row r="171" spans="1:8" x14ac:dyDescent="0.25">
      <c r="A171" s="14">
        <v>18</v>
      </c>
      <c r="B171" s="14" t="s">
        <v>18</v>
      </c>
      <c r="C171" s="46" t="s">
        <v>137</v>
      </c>
      <c r="D171" s="14">
        <v>10</v>
      </c>
      <c r="E171" s="14">
        <v>10</v>
      </c>
      <c r="F171" s="10">
        <f t="shared" si="0"/>
        <v>0</v>
      </c>
      <c r="G171" s="12"/>
    </row>
    <row r="172" spans="1:8" x14ac:dyDescent="0.25">
      <c r="A172" s="14">
        <v>18</v>
      </c>
      <c r="B172" s="14" t="s">
        <v>18</v>
      </c>
      <c r="C172" s="46" t="s">
        <v>520</v>
      </c>
      <c r="D172" s="14">
        <v>4</v>
      </c>
      <c r="E172" s="14">
        <v>4</v>
      </c>
      <c r="F172" s="10">
        <f t="shared" si="0"/>
        <v>0</v>
      </c>
      <c r="G172" s="12" t="s">
        <v>159</v>
      </c>
    </row>
    <row r="173" spans="1:8" x14ac:dyDescent="0.25">
      <c r="A173" s="14">
        <v>18</v>
      </c>
      <c r="B173" s="14" t="s">
        <v>18</v>
      </c>
      <c r="C173" s="46" t="s">
        <v>275</v>
      </c>
      <c r="D173" s="14">
        <v>12</v>
      </c>
      <c r="E173" s="14">
        <v>8</v>
      </c>
      <c r="F173" s="10">
        <f t="shared" si="0"/>
        <v>4</v>
      </c>
      <c r="G173" s="12" t="s">
        <v>632</v>
      </c>
    </row>
    <row r="174" spans="1:8" x14ac:dyDescent="0.25">
      <c r="A174" s="14">
        <v>18</v>
      </c>
      <c r="B174" s="14" t="s">
        <v>17</v>
      </c>
      <c r="C174" s="46" t="s">
        <v>907</v>
      </c>
      <c r="D174" s="14">
        <v>16</v>
      </c>
      <c r="E174" s="14">
        <v>12</v>
      </c>
      <c r="F174" s="10">
        <f t="shared" si="0"/>
        <v>4</v>
      </c>
      <c r="G174" s="12"/>
    </row>
    <row r="175" spans="1:8" x14ac:dyDescent="0.25">
      <c r="A175" s="10">
        <v>18</v>
      </c>
      <c r="B175" s="14" t="s">
        <v>17</v>
      </c>
      <c r="C175" s="46" t="s">
        <v>275</v>
      </c>
      <c r="D175" s="10">
        <v>12</v>
      </c>
      <c r="E175" s="10">
        <v>12</v>
      </c>
      <c r="F175" s="10">
        <f t="shared" si="0"/>
        <v>0</v>
      </c>
      <c r="G175" s="11"/>
    </row>
    <row r="176" spans="1:8" x14ac:dyDescent="0.25">
      <c r="A176" s="10">
        <v>18</v>
      </c>
      <c r="B176" s="14" t="s">
        <v>17</v>
      </c>
      <c r="C176" s="46" t="s">
        <v>868</v>
      </c>
      <c r="D176" s="10">
        <v>18</v>
      </c>
      <c r="E176" s="10">
        <v>12</v>
      </c>
      <c r="F176" s="10">
        <f t="shared" si="0"/>
        <v>6</v>
      </c>
      <c r="G176" s="11"/>
    </row>
    <row r="177" spans="1:8" x14ac:dyDescent="0.25">
      <c r="A177" s="10">
        <v>18</v>
      </c>
      <c r="B177" s="14" t="s">
        <v>17</v>
      </c>
      <c r="C177" s="46" t="s">
        <v>1044</v>
      </c>
      <c r="D177" s="10">
        <v>10</v>
      </c>
      <c r="E177" s="10">
        <v>10</v>
      </c>
      <c r="F177" s="10">
        <f t="shared" si="0"/>
        <v>0</v>
      </c>
      <c r="G177" s="11" t="s">
        <v>354</v>
      </c>
      <c r="H177" s="152">
        <v>2021</v>
      </c>
    </row>
    <row r="178" spans="1:8" x14ac:dyDescent="0.25">
      <c r="A178" s="10">
        <v>18</v>
      </c>
      <c r="B178" s="14" t="s">
        <v>17</v>
      </c>
      <c r="C178" s="46" t="s">
        <v>534</v>
      </c>
      <c r="D178" s="10">
        <v>8</v>
      </c>
      <c r="E178" s="10">
        <v>8</v>
      </c>
      <c r="F178" s="10">
        <f t="shared" si="0"/>
        <v>0</v>
      </c>
      <c r="G178" s="11"/>
    </row>
    <row r="179" spans="1:8" x14ac:dyDescent="0.25">
      <c r="A179" s="10">
        <v>18</v>
      </c>
      <c r="B179" s="14" t="s">
        <v>17</v>
      </c>
      <c r="C179" s="46" t="s">
        <v>137</v>
      </c>
      <c r="D179" s="10">
        <v>36</v>
      </c>
      <c r="E179" s="10">
        <v>36</v>
      </c>
      <c r="F179" s="10">
        <f t="shared" si="0"/>
        <v>0</v>
      </c>
      <c r="G179" s="11"/>
    </row>
    <row r="180" spans="1:8" x14ac:dyDescent="0.25">
      <c r="A180" s="10">
        <v>18</v>
      </c>
      <c r="B180" s="14" t="s">
        <v>17</v>
      </c>
      <c r="C180" s="46" t="s">
        <v>265</v>
      </c>
      <c r="D180" s="10">
        <v>4</v>
      </c>
      <c r="E180" s="10">
        <v>4</v>
      </c>
      <c r="F180" s="10">
        <f t="shared" si="0"/>
        <v>0</v>
      </c>
      <c r="G180" s="11"/>
    </row>
    <row r="181" spans="1:8" x14ac:dyDescent="0.25">
      <c r="A181" s="10">
        <v>18</v>
      </c>
      <c r="B181" s="14" t="s">
        <v>17</v>
      </c>
      <c r="C181" s="46" t="s">
        <v>282</v>
      </c>
      <c r="D181" s="10">
        <v>4</v>
      </c>
      <c r="E181" s="10">
        <v>4</v>
      </c>
      <c r="F181" s="10">
        <f t="shared" si="0"/>
        <v>0</v>
      </c>
      <c r="G181" s="11" t="s">
        <v>159</v>
      </c>
    </row>
    <row r="182" spans="1:8" x14ac:dyDescent="0.25">
      <c r="A182" s="10">
        <v>18</v>
      </c>
      <c r="B182" s="14" t="s">
        <v>17</v>
      </c>
      <c r="C182" s="46" t="s">
        <v>271</v>
      </c>
      <c r="D182" s="10">
        <v>2</v>
      </c>
      <c r="E182" s="10">
        <v>2</v>
      </c>
      <c r="F182" s="10">
        <f t="shared" si="0"/>
        <v>0</v>
      </c>
      <c r="G182" s="11"/>
    </row>
    <row r="183" spans="1:8" x14ac:dyDescent="0.25">
      <c r="A183" s="10">
        <v>18</v>
      </c>
      <c r="B183" s="10" t="s">
        <v>17</v>
      </c>
      <c r="C183" s="46" t="s">
        <v>34</v>
      </c>
      <c r="D183" s="10">
        <v>16</v>
      </c>
      <c r="E183" s="10">
        <v>16</v>
      </c>
      <c r="F183" s="10">
        <f t="shared" si="0"/>
        <v>0</v>
      </c>
      <c r="G183" s="12"/>
    </row>
    <row r="184" spans="1:8" x14ac:dyDescent="0.25">
      <c r="A184" s="10">
        <v>18</v>
      </c>
      <c r="B184" s="10" t="s">
        <v>17</v>
      </c>
      <c r="C184" s="46" t="s">
        <v>365</v>
      </c>
      <c r="D184" s="10">
        <v>18</v>
      </c>
      <c r="E184" s="10">
        <v>10</v>
      </c>
      <c r="F184" s="10">
        <f t="shared" si="0"/>
        <v>8</v>
      </c>
      <c r="G184" s="12" t="s">
        <v>1046</v>
      </c>
      <c r="H184" s="152">
        <v>2022</v>
      </c>
    </row>
    <row r="185" spans="1:8" x14ac:dyDescent="0.25">
      <c r="A185" s="10">
        <v>18</v>
      </c>
      <c r="B185" s="10" t="s">
        <v>17</v>
      </c>
      <c r="C185" s="46" t="s">
        <v>909</v>
      </c>
      <c r="D185" s="10">
        <v>6</v>
      </c>
      <c r="E185" s="10">
        <v>4</v>
      </c>
      <c r="F185" s="10">
        <f t="shared" si="0"/>
        <v>2</v>
      </c>
      <c r="G185" s="12"/>
    </row>
    <row r="186" spans="1:8" x14ac:dyDescent="0.25">
      <c r="A186" s="10">
        <v>18</v>
      </c>
      <c r="B186" s="10" t="s">
        <v>17</v>
      </c>
      <c r="C186" s="46" t="s">
        <v>910</v>
      </c>
      <c r="D186" s="10">
        <v>4</v>
      </c>
      <c r="E186" s="10">
        <v>2</v>
      </c>
      <c r="F186" s="10">
        <f t="shared" ref="F186:F287" si="1">D186-E186</f>
        <v>2</v>
      </c>
      <c r="G186" s="11"/>
    </row>
    <row r="187" spans="1:8" x14ac:dyDescent="0.25">
      <c r="A187" s="10">
        <v>18</v>
      </c>
      <c r="B187" s="10" t="s">
        <v>17</v>
      </c>
      <c r="C187" s="46" t="s">
        <v>229</v>
      </c>
      <c r="D187" s="10">
        <v>2</v>
      </c>
      <c r="E187" s="10">
        <v>2</v>
      </c>
      <c r="F187" s="10">
        <f t="shared" si="1"/>
        <v>0</v>
      </c>
      <c r="G187" s="11"/>
    </row>
    <row r="188" spans="1:8" x14ac:dyDescent="0.25">
      <c r="A188" s="10">
        <v>18</v>
      </c>
      <c r="B188" s="10" t="s">
        <v>17</v>
      </c>
      <c r="C188" s="46" t="s">
        <v>103</v>
      </c>
      <c r="D188" s="10">
        <v>36</v>
      </c>
      <c r="E188" s="10">
        <v>32</v>
      </c>
      <c r="F188" s="10">
        <f t="shared" si="1"/>
        <v>4</v>
      </c>
      <c r="G188" s="11" t="s">
        <v>940</v>
      </c>
    </row>
    <row r="189" spans="1:8" x14ac:dyDescent="0.25">
      <c r="A189" s="10">
        <v>18</v>
      </c>
      <c r="B189" s="10" t="s">
        <v>17</v>
      </c>
      <c r="C189" s="46" t="s">
        <v>468</v>
      </c>
      <c r="D189" s="10">
        <v>74</v>
      </c>
      <c r="E189" s="10">
        <v>66</v>
      </c>
      <c r="F189" s="10">
        <f t="shared" si="1"/>
        <v>8</v>
      </c>
      <c r="G189" s="11"/>
    </row>
    <row r="190" spans="1:8" x14ac:dyDescent="0.25">
      <c r="A190" s="10">
        <v>18</v>
      </c>
      <c r="B190" s="10" t="s">
        <v>17</v>
      </c>
      <c r="C190" s="46" t="s">
        <v>881</v>
      </c>
      <c r="D190" s="10">
        <v>8</v>
      </c>
      <c r="E190" s="10">
        <v>4</v>
      </c>
      <c r="F190" s="10">
        <f t="shared" si="1"/>
        <v>4</v>
      </c>
      <c r="G190" s="11" t="s">
        <v>354</v>
      </c>
    </row>
    <row r="191" spans="1:8" x14ac:dyDescent="0.25">
      <c r="A191" s="10">
        <v>18</v>
      </c>
      <c r="B191" s="10" t="s">
        <v>17</v>
      </c>
      <c r="C191" s="46" t="s">
        <v>540</v>
      </c>
      <c r="D191" s="10">
        <v>20</v>
      </c>
      <c r="E191" s="10">
        <v>16</v>
      </c>
      <c r="F191" s="10">
        <f t="shared" si="1"/>
        <v>4</v>
      </c>
      <c r="G191" s="11" t="s">
        <v>159</v>
      </c>
      <c r="H191" s="152">
        <v>2021</v>
      </c>
    </row>
    <row r="192" spans="1:8" x14ac:dyDescent="0.25">
      <c r="A192" s="76"/>
      <c r="B192" s="76" t="s">
        <v>44</v>
      </c>
      <c r="C192" s="78"/>
      <c r="D192" s="76"/>
      <c r="E192" s="76"/>
      <c r="F192" s="76"/>
      <c r="G192" s="78"/>
    </row>
    <row r="193" spans="1:9" x14ac:dyDescent="0.25">
      <c r="A193" s="10">
        <v>18</v>
      </c>
      <c r="B193" s="10" t="s">
        <v>44</v>
      </c>
      <c r="C193" s="46" t="s">
        <v>658</v>
      </c>
      <c r="D193" s="10">
        <v>2</v>
      </c>
      <c r="E193" s="10"/>
      <c r="F193" s="10">
        <f t="shared" si="1"/>
        <v>2</v>
      </c>
      <c r="G193" s="11" t="s">
        <v>159</v>
      </c>
    </row>
    <row r="194" spans="1:9" x14ac:dyDescent="0.25">
      <c r="A194" s="10">
        <v>18</v>
      </c>
      <c r="B194" s="10" t="s">
        <v>44</v>
      </c>
      <c r="C194" s="46" t="s">
        <v>562</v>
      </c>
      <c r="D194" s="10">
        <v>4</v>
      </c>
      <c r="E194" s="10">
        <v>2</v>
      </c>
      <c r="F194" s="10">
        <f t="shared" si="1"/>
        <v>2</v>
      </c>
      <c r="G194" s="11">
        <v>2019</v>
      </c>
    </row>
    <row r="195" spans="1:9" x14ac:dyDescent="0.25">
      <c r="A195" s="10">
        <v>18</v>
      </c>
      <c r="B195" s="10" t="s">
        <v>44</v>
      </c>
      <c r="C195" s="46" t="s">
        <v>132</v>
      </c>
      <c r="D195" s="10">
        <v>4</v>
      </c>
      <c r="E195" s="10">
        <v>4</v>
      </c>
      <c r="F195" s="10">
        <f t="shared" si="1"/>
        <v>0</v>
      </c>
      <c r="G195" s="11"/>
    </row>
    <row r="196" spans="1:9" x14ac:dyDescent="0.25">
      <c r="A196" s="10">
        <v>18</v>
      </c>
      <c r="B196" s="10" t="s">
        <v>44</v>
      </c>
      <c r="C196" s="46" t="s">
        <v>45</v>
      </c>
      <c r="D196" s="10">
        <v>20</v>
      </c>
      <c r="E196" s="10">
        <v>18</v>
      </c>
      <c r="F196" s="10">
        <f t="shared" si="1"/>
        <v>2</v>
      </c>
      <c r="G196" s="11" t="s">
        <v>28</v>
      </c>
      <c r="H196" t="s">
        <v>663</v>
      </c>
      <c r="I196" s="152">
        <v>2020</v>
      </c>
    </row>
    <row r="197" spans="1:9" x14ac:dyDescent="0.25">
      <c r="A197" s="76"/>
      <c r="B197" s="76" t="s">
        <v>33</v>
      </c>
      <c r="C197" s="78"/>
      <c r="D197" s="76"/>
      <c r="E197" s="76"/>
      <c r="F197" s="76"/>
      <c r="G197" s="78"/>
    </row>
    <row r="198" spans="1:9" x14ac:dyDescent="0.25">
      <c r="A198" s="10">
        <v>18</v>
      </c>
      <c r="B198" s="10" t="s">
        <v>33</v>
      </c>
      <c r="C198" s="46" t="s">
        <v>815</v>
      </c>
      <c r="D198" s="10">
        <v>4</v>
      </c>
      <c r="E198" s="10">
        <v>4</v>
      </c>
      <c r="F198" s="10">
        <f t="shared" si="1"/>
        <v>0</v>
      </c>
      <c r="G198" s="11">
        <v>2020</v>
      </c>
    </row>
    <row r="199" spans="1:9" x14ac:dyDescent="0.25">
      <c r="A199" s="10">
        <v>18</v>
      </c>
      <c r="B199" s="10" t="s">
        <v>33</v>
      </c>
      <c r="C199" s="46" t="s">
        <v>874</v>
      </c>
      <c r="D199" s="10">
        <v>8</v>
      </c>
      <c r="E199" s="10">
        <v>8</v>
      </c>
      <c r="F199" s="10">
        <f t="shared" si="1"/>
        <v>0</v>
      </c>
      <c r="G199" s="11">
        <v>2019</v>
      </c>
    </row>
    <row r="200" spans="1:9" x14ac:dyDescent="0.25">
      <c r="A200" s="10">
        <v>18</v>
      </c>
      <c r="B200" s="10" t="s">
        <v>33</v>
      </c>
      <c r="C200" s="46" t="s">
        <v>843</v>
      </c>
      <c r="D200" s="10">
        <v>2</v>
      </c>
      <c r="E200" s="10">
        <v>2</v>
      </c>
      <c r="F200" s="10">
        <f t="shared" si="1"/>
        <v>0</v>
      </c>
      <c r="G200" s="11"/>
    </row>
    <row r="201" spans="1:9" x14ac:dyDescent="0.25">
      <c r="A201" s="10">
        <v>18</v>
      </c>
      <c r="B201" s="10" t="s">
        <v>33</v>
      </c>
      <c r="C201" s="88" t="s">
        <v>309</v>
      </c>
      <c r="D201" s="10">
        <v>6</v>
      </c>
      <c r="E201" s="10">
        <v>4</v>
      </c>
      <c r="F201" s="10">
        <f t="shared" si="1"/>
        <v>2</v>
      </c>
      <c r="G201" s="11" t="s">
        <v>28</v>
      </c>
    </row>
    <row r="202" spans="1:9" x14ac:dyDescent="0.25">
      <c r="A202" s="10">
        <v>18</v>
      </c>
      <c r="B202" s="10" t="s">
        <v>33</v>
      </c>
      <c r="C202" s="88" t="s">
        <v>1093</v>
      </c>
      <c r="D202" s="10">
        <v>2</v>
      </c>
      <c r="E202" s="10"/>
      <c r="F202" s="10">
        <f t="shared" si="1"/>
        <v>2</v>
      </c>
      <c r="G202" s="11">
        <v>2022</v>
      </c>
    </row>
    <row r="203" spans="1:9" x14ac:dyDescent="0.25">
      <c r="A203" s="10">
        <v>18</v>
      </c>
      <c r="B203" s="10" t="s">
        <v>33</v>
      </c>
      <c r="C203" s="54" t="s">
        <v>41</v>
      </c>
      <c r="D203" s="10">
        <v>18</v>
      </c>
      <c r="E203" s="10">
        <v>12</v>
      </c>
      <c r="F203" s="10">
        <f t="shared" si="1"/>
        <v>6</v>
      </c>
      <c r="G203" s="11" t="s">
        <v>159</v>
      </c>
    </row>
    <row r="204" spans="1:9" x14ac:dyDescent="0.25">
      <c r="A204" s="10">
        <v>18</v>
      </c>
      <c r="B204" s="10" t="s">
        <v>33</v>
      </c>
      <c r="C204" s="54" t="s">
        <v>817</v>
      </c>
      <c r="D204" s="10">
        <v>4</v>
      </c>
      <c r="E204" s="10">
        <v>4</v>
      </c>
      <c r="F204" s="10">
        <f t="shared" si="1"/>
        <v>0</v>
      </c>
      <c r="G204" s="11" t="s">
        <v>787</v>
      </c>
    </row>
    <row r="205" spans="1:9" x14ac:dyDescent="0.25">
      <c r="A205" s="10">
        <v>18</v>
      </c>
      <c r="B205" s="10" t="s">
        <v>33</v>
      </c>
      <c r="C205" s="54" t="s">
        <v>832</v>
      </c>
      <c r="D205" s="10">
        <v>4</v>
      </c>
      <c r="E205" s="10"/>
      <c r="F205" s="10">
        <f t="shared" si="1"/>
        <v>4</v>
      </c>
      <c r="G205" s="11"/>
    </row>
    <row r="206" spans="1:9" x14ac:dyDescent="0.25">
      <c r="A206" s="10">
        <v>18</v>
      </c>
      <c r="B206" s="10" t="s">
        <v>33</v>
      </c>
      <c r="C206" s="46" t="s">
        <v>273</v>
      </c>
      <c r="D206" s="10">
        <v>18</v>
      </c>
      <c r="E206" s="10">
        <v>18</v>
      </c>
      <c r="F206" s="10">
        <f t="shared" si="1"/>
        <v>0</v>
      </c>
      <c r="G206" s="11" t="s">
        <v>905</v>
      </c>
      <c r="H206" s="152">
        <v>2020</v>
      </c>
    </row>
    <row r="207" spans="1:9" x14ac:dyDescent="0.25">
      <c r="A207" s="10">
        <v>18</v>
      </c>
      <c r="B207" s="10" t="s">
        <v>33</v>
      </c>
      <c r="C207" s="46" t="s">
        <v>831</v>
      </c>
      <c r="D207" s="10">
        <v>4</v>
      </c>
      <c r="E207" s="10">
        <v>4</v>
      </c>
      <c r="F207" s="10">
        <f t="shared" si="1"/>
        <v>0</v>
      </c>
      <c r="G207" s="11" t="s">
        <v>159</v>
      </c>
      <c r="H207" s="152"/>
    </row>
    <row r="208" spans="1:9" x14ac:dyDescent="0.25">
      <c r="A208" s="10">
        <v>18</v>
      </c>
      <c r="B208" s="10" t="s">
        <v>33</v>
      </c>
      <c r="C208" s="46" t="s">
        <v>272</v>
      </c>
      <c r="D208" s="10">
        <v>32</v>
      </c>
      <c r="E208" s="10">
        <v>32</v>
      </c>
      <c r="F208" s="10">
        <f t="shared" si="1"/>
        <v>0</v>
      </c>
      <c r="G208" s="11" t="s">
        <v>159</v>
      </c>
    </row>
    <row r="209" spans="1:10" x14ac:dyDescent="0.25">
      <c r="A209" s="10">
        <v>18</v>
      </c>
      <c r="B209" s="10" t="s">
        <v>33</v>
      </c>
      <c r="C209" s="46" t="s">
        <v>327</v>
      </c>
      <c r="D209" s="10">
        <v>10</v>
      </c>
      <c r="E209" s="10">
        <v>4</v>
      </c>
      <c r="F209" s="10">
        <f t="shared" si="1"/>
        <v>6</v>
      </c>
      <c r="G209" s="11" t="s">
        <v>159</v>
      </c>
      <c r="H209" t="s">
        <v>383</v>
      </c>
    </row>
    <row r="210" spans="1:10" x14ac:dyDescent="0.25">
      <c r="A210" s="10">
        <v>18</v>
      </c>
      <c r="B210" s="10" t="s">
        <v>33</v>
      </c>
      <c r="C210" s="46" t="s">
        <v>904</v>
      </c>
      <c r="D210" s="10">
        <v>10</v>
      </c>
      <c r="E210" s="10">
        <v>6</v>
      </c>
      <c r="F210" s="10">
        <f t="shared" si="1"/>
        <v>4</v>
      </c>
      <c r="G210" s="11"/>
    </row>
    <row r="211" spans="1:10" x14ac:dyDescent="0.25">
      <c r="A211" s="10">
        <v>18</v>
      </c>
      <c r="B211" s="10" t="s">
        <v>33</v>
      </c>
      <c r="C211" s="46" t="s">
        <v>753</v>
      </c>
      <c r="D211" s="10">
        <v>6</v>
      </c>
      <c r="E211" s="10">
        <v>6</v>
      </c>
      <c r="F211" s="10">
        <f t="shared" si="1"/>
        <v>0</v>
      </c>
      <c r="G211" s="11" t="s">
        <v>354</v>
      </c>
    </row>
    <row r="212" spans="1:10" x14ac:dyDescent="0.25">
      <c r="A212" s="10">
        <v>18</v>
      </c>
      <c r="B212" s="10" t="s">
        <v>33</v>
      </c>
      <c r="C212" s="46" t="s">
        <v>1049</v>
      </c>
      <c r="D212" s="10">
        <v>8</v>
      </c>
      <c r="E212" s="10">
        <v>8</v>
      </c>
      <c r="F212" s="10">
        <f t="shared" si="1"/>
        <v>0</v>
      </c>
      <c r="G212" s="11" t="s">
        <v>354</v>
      </c>
      <c r="H212" s="152">
        <v>2025</v>
      </c>
    </row>
    <row r="213" spans="1:10" x14ac:dyDescent="0.25">
      <c r="A213" s="76"/>
      <c r="B213" s="76" t="s">
        <v>15</v>
      </c>
      <c r="C213" s="78"/>
      <c r="D213" s="76"/>
      <c r="E213" s="76"/>
      <c r="F213" s="76"/>
      <c r="G213" s="78"/>
    </row>
    <row r="214" spans="1:10" x14ac:dyDescent="0.25">
      <c r="A214" s="10">
        <v>18</v>
      </c>
      <c r="B214" s="14" t="s">
        <v>15</v>
      </c>
      <c r="C214" s="37" t="s">
        <v>32</v>
      </c>
      <c r="D214" s="10">
        <v>20</v>
      </c>
      <c r="E214" s="10">
        <v>20</v>
      </c>
      <c r="F214" s="10">
        <f t="shared" si="1"/>
        <v>0</v>
      </c>
      <c r="G214" s="11" t="s">
        <v>28</v>
      </c>
    </row>
    <row r="215" spans="1:10" x14ac:dyDescent="0.25">
      <c r="A215" s="10">
        <v>18</v>
      </c>
      <c r="B215" s="14" t="s">
        <v>15</v>
      </c>
      <c r="C215" s="37" t="s">
        <v>475</v>
      </c>
      <c r="D215" s="10">
        <v>6</v>
      </c>
      <c r="E215" s="10">
        <v>6</v>
      </c>
      <c r="F215" s="10">
        <f t="shared" si="1"/>
        <v>0</v>
      </c>
      <c r="G215" s="11" t="s">
        <v>159</v>
      </c>
    </row>
    <row r="216" spans="1:10" x14ac:dyDescent="0.25">
      <c r="A216" s="10">
        <v>18</v>
      </c>
      <c r="B216" s="14" t="s">
        <v>15</v>
      </c>
      <c r="C216" s="37" t="s">
        <v>825</v>
      </c>
      <c r="D216" s="10">
        <v>6</v>
      </c>
      <c r="E216" s="10">
        <v>2</v>
      </c>
      <c r="F216" s="10">
        <f t="shared" si="1"/>
        <v>4</v>
      </c>
      <c r="G216" s="11"/>
    </row>
    <row r="217" spans="1:10" x14ac:dyDescent="0.25">
      <c r="A217" s="10">
        <v>18</v>
      </c>
      <c r="B217" s="10" t="s">
        <v>15</v>
      </c>
      <c r="C217" s="37" t="s">
        <v>477</v>
      </c>
      <c r="D217" s="10">
        <v>28</v>
      </c>
      <c r="E217" s="10">
        <v>28</v>
      </c>
      <c r="F217" s="10">
        <f t="shared" si="1"/>
        <v>0</v>
      </c>
      <c r="G217" s="11" t="s">
        <v>499</v>
      </c>
    </row>
    <row r="218" spans="1:10" x14ac:dyDescent="0.25">
      <c r="A218" s="10">
        <v>18</v>
      </c>
      <c r="B218" s="10" t="s">
        <v>15</v>
      </c>
      <c r="C218" s="37" t="s">
        <v>327</v>
      </c>
      <c r="D218" s="10">
        <v>60</v>
      </c>
      <c r="E218" s="10">
        <v>46</v>
      </c>
      <c r="F218" s="10">
        <f t="shared" si="1"/>
        <v>14</v>
      </c>
      <c r="G218" s="11" t="s">
        <v>159</v>
      </c>
      <c r="H218" t="s">
        <v>207</v>
      </c>
    </row>
    <row r="219" spans="1:10" x14ac:dyDescent="0.25">
      <c r="A219" s="10">
        <v>18</v>
      </c>
      <c r="B219" s="10" t="s">
        <v>15</v>
      </c>
      <c r="C219" s="37" t="s">
        <v>359</v>
      </c>
      <c r="D219" s="10">
        <v>12</v>
      </c>
      <c r="E219" s="10">
        <v>12</v>
      </c>
      <c r="F219" s="10">
        <f t="shared" si="1"/>
        <v>0</v>
      </c>
      <c r="G219" s="11" t="s">
        <v>607</v>
      </c>
    </row>
    <row r="220" spans="1:10" x14ac:dyDescent="0.25">
      <c r="A220" s="10">
        <v>18</v>
      </c>
      <c r="B220" s="10" t="s">
        <v>15</v>
      </c>
      <c r="C220" s="37" t="s">
        <v>400</v>
      </c>
      <c r="D220" s="10">
        <v>30</v>
      </c>
      <c r="E220" s="10">
        <v>28</v>
      </c>
      <c r="F220" s="10">
        <f t="shared" si="1"/>
        <v>2</v>
      </c>
      <c r="G220" s="11" t="s">
        <v>159</v>
      </c>
    </row>
    <row r="221" spans="1:10" x14ac:dyDescent="0.25">
      <c r="A221" s="10">
        <v>18</v>
      </c>
      <c r="B221" s="10" t="s">
        <v>15</v>
      </c>
      <c r="C221" s="37" t="s">
        <v>22</v>
      </c>
      <c r="D221" s="10">
        <v>46</v>
      </c>
      <c r="E221" s="10">
        <v>46</v>
      </c>
      <c r="F221" s="10">
        <f t="shared" si="1"/>
        <v>0</v>
      </c>
      <c r="G221" s="11" t="s">
        <v>179</v>
      </c>
      <c r="J221" t="s">
        <v>82</v>
      </c>
    </row>
    <row r="222" spans="1:10" x14ac:dyDescent="0.25">
      <c r="A222" s="10">
        <v>18</v>
      </c>
      <c r="B222" s="10" t="s">
        <v>15</v>
      </c>
      <c r="C222" s="37" t="s">
        <v>1100</v>
      </c>
      <c r="D222" s="10">
        <v>2</v>
      </c>
      <c r="E222" s="10"/>
      <c r="F222" s="10">
        <f t="shared" si="1"/>
        <v>2</v>
      </c>
      <c r="G222" s="11"/>
    </row>
    <row r="223" spans="1:10" x14ac:dyDescent="0.25">
      <c r="A223" s="10">
        <v>18</v>
      </c>
      <c r="B223" s="10" t="s">
        <v>15</v>
      </c>
      <c r="C223" s="37" t="s">
        <v>780</v>
      </c>
      <c r="D223" s="10">
        <v>8</v>
      </c>
      <c r="E223" s="10">
        <v>8</v>
      </c>
      <c r="F223" s="10">
        <f t="shared" si="1"/>
        <v>0</v>
      </c>
      <c r="G223" s="11" t="s">
        <v>781</v>
      </c>
      <c r="H223" s="162" t="s">
        <v>859</v>
      </c>
      <c r="I223" s="163"/>
    </row>
    <row r="224" spans="1:10" x14ac:dyDescent="0.25">
      <c r="A224" s="14">
        <v>18</v>
      </c>
      <c r="B224" s="14" t="s">
        <v>15</v>
      </c>
      <c r="C224" s="38" t="s">
        <v>29</v>
      </c>
      <c r="D224" s="14">
        <v>16</v>
      </c>
      <c r="E224" s="14">
        <v>14</v>
      </c>
      <c r="F224" s="14">
        <f t="shared" si="1"/>
        <v>2</v>
      </c>
      <c r="G224" s="12" t="s">
        <v>28</v>
      </c>
    </row>
    <row r="225" spans="1:7" x14ac:dyDescent="0.25">
      <c r="A225" s="14">
        <v>18</v>
      </c>
      <c r="B225" s="14" t="s">
        <v>15</v>
      </c>
      <c r="C225" s="38" t="s">
        <v>854</v>
      </c>
      <c r="D225" s="14">
        <v>4</v>
      </c>
      <c r="E225" s="14">
        <v>4</v>
      </c>
      <c r="F225" s="14">
        <f t="shared" si="1"/>
        <v>0</v>
      </c>
      <c r="G225" s="12">
        <v>2022</v>
      </c>
    </row>
    <row r="226" spans="1:7" x14ac:dyDescent="0.25">
      <c r="A226" s="14">
        <v>18</v>
      </c>
      <c r="B226" s="14" t="s">
        <v>15</v>
      </c>
      <c r="C226" s="38" t="s">
        <v>684</v>
      </c>
      <c r="D226" s="14">
        <v>14</v>
      </c>
      <c r="E226" s="14">
        <v>14</v>
      </c>
      <c r="F226" s="14">
        <f t="shared" si="1"/>
        <v>0</v>
      </c>
      <c r="G226" s="12" t="s">
        <v>996</v>
      </c>
    </row>
    <row r="227" spans="1:7" x14ac:dyDescent="0.25">
      <c r="A227" s="14">
        <v>18</v>
      </c>
      <c r="B227" s="14" t="s">
        <v>15</v>
      </c>
      <c r="C227" s="46" t="s">
        <v>360</v>
      </c>
      <c r="D227" s="10">
        <v>4</v>
      </c>
      <c r="E227" s="10">
        <v>4</v>
      </c>
      <c r="F227" s="10">
        <f t="shared" si="1"/>
        <v>0</v>
      </c>
      <c r="G227" s="11" t="s">
        <v>159</v>
      </c>
    </row>
    <row r="228" spans="1:7" x14ac:dyDescent="0.25">
      <c r="A228" s="14">
        <v>18</v>
      </c>
      <c r="B228" s="14" t="s">
        <v>15</v>
      </c>
      <c r="C228" s="46" t="s">
        <v>397</v>
      </c>
      <c r="D228" s="10">
        <v>4</v>
      </c>
      <c r="E228" s="10">
        <v>4</v>
      </c>
      <c r="F228" s="10">
        <f t="shared" si="1"/>
        <v>0</v>
      </c>
      <c r="G228" s="11" t="s">
        <v>159</v>
      </c>
    </row>
    <row r="229" spans="1:7" x14ac:dyDescent="0.25">
      <c r="A229" s="14">
        <v>18</v>
      </c>
      <c r="B229" s="14" t="s">
        <v>129</v>
      </c>
      <c r="C229" s="46" t="s">
        <v>341</v>
      </c>
      <c r="D229" s="10">
        <v>4</v>
      </c>
      <c r="E229" s="10">
        <v>4</v>
      </c>
      <c r="F229" s="10">
        <f t="shared" si="1"/>
        <v>0</v>
      </c>
      <c r="G229" s="11" t="s">
        <v>159</v>
      </c>
    </row>
    <row r="230" spans="1:7" x14ac:dyDescent="0.25">
      <c r="A230" s="14">
        <v>18</v>
      </c>
      <c r="B230" s="14" t="s">
        <v>15</v>
      </c>
      <c r="C230" s="46" t="s">
        <v>402</v>
      </c>
      <c r="D230" s="10">
        <v>16</v>
      </c>
      <c r="E230" s="10">
        <v>16</v>
      </c>
      <c r="F230" s="10">
        <f t="shared" si="1"/>
        <v>0</v>
      </c>
      <c r="G230" s="11" t="s">
        <v>787</v>
      </c>
    </row>
    <row r="231" spans="1:7" x14ac:dyDescent="0.25">
      <c r="A231" s="14">
        <v>18</v>
      </c>
      <c r="B231" s="14" t="s">
        <v>15</v>
      </c>
      <c r="C231" s="46" t="s">
        <v>851</v>
      </c>
      <c r="D231" s="10">
        <v>52</v>
      </c>
      <c r="E231" s="10">
        <v>52</v>
      </c>
      <c r="F231" s="10">
        <f t="shared" si="1"/>
        <v>0</v>
      </c>
      <c r="G231" s="12" t="s">
        <v>151</v>
      </c>
    </row>
    <row r="232" spans="1:7" x14ac:dyDescent="0.25">
      <c r="A232" s="14">
        <v>18</v>
      </c>
      <c r="B232" s="14" t="s">
        <v>15</v>
      </c>
      <c r="C232" s="46" t="s">
        <v>373</v>
      </c>
      <c r="D232" s="10">
        <v>18</v>
      </c>
      <c r="E232" s="10">
        <v>18</v>
      </c>
      <c r="F232" s="10">
        <f t="shared" si="1"/>
        <v>0</v>
      </c>
      <c r="G232" s="11"/>
    </row>
    <row r="233" spans="1:7" x14ac:dyDescent="0.25">
      <c r="A233" s="14">
        <v>18</v>
      </c>
      <c r="B233" s="14" t="s">
        <v>15</v>
      </c>
      <c r="C233" s="46" t="s">
        <v>270</v>
      </c>
      <c r="D233" s="10">
        <v>4</v>
      </c>
      <c r="E233" s="10">
        <v>4</v>
      </c>
      <c r="F233" s="10">
        <f t="shared" si="1"/>
        <v>0</v>
      </c>
      <c r="G233" s="11"/>
    </row>
    <row r="234" spans="1:7" x14ac:dyDescent="0.25">
      <c r="A234" s="14">
        <v>18</v>
      </c>
      <c r="B234" s="14" t="s">
        <v>15</v>
      </c>
      <c r="C234" s="46" t="s">
        <v>299</v>
      </c>
      <c r="D234" s="10">
        <v>8</v>
      </c>
      <c r="E234" s="10">
        <v>4</v>
      </c>
      <c r="F234" s="10">
        <f t="shared" si="1"/>
        <v>4</v>
      </c>
      <c r="G234" s="11" t="s">
        <v>159</v>
      </c>
    </row>
    <row r="235" spans="1:7" x14ac:dyDescent="0.25">
      <c r="A235" s="14">
        <v>18</v>
      </c>
      <c r="B235" s="14" t="s">
        <v>15</v>
      </c>
      <c r="C235" s="46" t="s">
        <v>155</v>
      </c>
      <c r="D235" s="10">
        <v>4</v>
      </c>
      <c r="E235" s="10">
        <v>4</v>
      </c>
      <c r="F235" s="10">
        <f t="shared" si="1"/>
        <v>0</v>
      </c>
      <c r="G235" s="11"/>
    </row>
    <row r="236" spans="1:7" x14ac:dyDescent="0.25">
      <c r="A236" s="14">
        <v>18</v>
      </c>
      <c r="B236" s="14" t="s">
        <v>15</v>
      </c>
      <c r="C236" s="46" t="s">
        <v>278</v>
      </c>
      <c r="D236" s="10">
        <v>16</v>
      </c>
      <c r="E236" s="10">
        <v>16</v>
      </c>
      <c r="F236" s="10">
        <f t="shared" si="1"/>
        <v>0</v>
      </c>
      <c r="G236" s="11"/>
    </row>
    <row r="237" spans="1:7" x14ac:dyDescent="0.25">
      <c r="A237" s="14">
        <v>18</v>
      </c>
      <c r="B237" s="14" t="s">
        <v>15</v>
      </c>
      <c r="C237" s="46" t="s">
        <v>156</v>
      </c>
      <c r="D237" s="10">
        <v>0</v>
      </c>
      <c r="E237" s="10"/>
      <c r="F237" s="10">
        <f t="shared" si="1"/>
        <v>0</v>
      </c>
      <c r="G237" s="11"/>
    </row>
    <row r="238" spans="1:7" x14ac:dyDescent="0.25">
      <c r="A238" s="14">
        <v>18</v>
      </c>
      <c r="B238" s="14" t="s">
        <v>15</v>
      </c>
      <c r="C238" s="46" t="s">
        <v>38</v>
      </c>
      <c r="D238" s="10">
        <v>16</v>
      </c>
      <c r="E238" s="10">
        <v>12</v>
      </c>
      <c r="F238" s="10">
        <f t="shared" si="1"/>
        <v>4</v>
      </c>
      <c r="G238" s="11" t="s">
        <v>28</v>
      </c>
    </row>
    <row r="239" spans="1:7" x14ac:dyDescent="0.25">
      <c r="A239" s="76"/>
      <c r="B239" s="76" t="s">
        <v>37</v>
      </c>
      <c r="C239" s="78"/>
      <c r="D239" s="76"/>
      <c r="E239" s="76"/>
      <c r="F239" s="76"/>
      <c r="G239" s="78"/>
    </row>
    <row r="240" spans="1:7" x14ac:dyDescent="0.25">
      <c r="A240" s="14">
        <v>18</v>
      </c>
      <c r="B240" s="14" t="s">
        <v>37</v>
      </c>
      <c r="C240" s="46" t="s">
        <v>878</v>
      </c>
      <c r="D240" s="10">
        <v>22</v>
      </c>
      <c r="E240" s="10">
        <v>22</v>
      </c>
      <c r="F240" s="10">
        <f t="shared" si="1"/>
        <v>0</v>
      </c>
      <c r="G240" s="12" t="s">
        <v>354</v>
      </c>
    </row>
    <row r="241" spans="1:7" x14ac:dyDescent="0.25">
      <c r="A241" s="14">
        <v>18</v>
      </c>
      <c r="B241" s="14" t="s">
        <v>37</v>
      </c>
      <c r="C241" s="46" t="s">
        <v>45</v>
      </c>
      <c r="D241" s="10">
        <v>12</v>
      </c>
      <c r="E241" s="10">
        <v>10</v>
      </c>
      <c r="F241" s="10">
        <f t="shared" si="1"/>
        <v>2</v>
      </c>
      <c r="G241" s="12" t="s">
        <v>668</v>
      </c>
    </row>
    <row r="242" spans="1:7" x14ac:dyDescent="0.25">
      <c r="A242" s="14">
        <v>18</v>
      </c>
      <c r="B242" s="14" t="s">
        <v>37</v>
      </c>
      <c r="C242" s="46" t="s">
        <v>38</v>
      </c>
      <c r="D242" s="14">
        <v>88</v>
      </c>
      <c r="E242" s="14">
        <v>86</v>
      </c>
      <c r="F242" s="14">
        <f t="shared" si="1"/>
        <v>2</v>
      </c>
      <c r="G242" s="12" t="s">
        <v>28</v>
      </c>
    </row>
    <row r="243" spans="1:7" x14ac:dyDescent="0.25">
      <c r="A243" s="14">
        <v>18</v>
      </c>
      <c r="B243" s="14" t="s">
        <v>37</v>
      </c>
      <c r="C243" s="46" t="s">
        <v>275</v>
      </c>
      <c r="D243" s="14">
        <v>6</v>
      </c>
      <c r="E243" s="14">
        <v>6</v>
      </c>
      <c r="F243" s="14">
        <f t="shared" si="1"/>
        <v>0</v>
      </c>
      <c r="G243" s="12" t="s">
        <v>159</v>
      </c>
    </row>
    <row r="244" spans="1:7" x14ac:dyDescent="0.25">
      <c r="A244" s="14">
        <v>18</v>
      </c>
      <c r="B244" s="14" t="s">
        <v>37</v>
      </c>
      <c r="C244" s="46" t="s">
        <v>274</v>
      </c>
      <c r="D244" s="14">
        <v>4</v>
      </c>
      <c r="E244" s="14">
        <v>4</v>
      </c>
      <c r="F244" s="14">
        <f t="shared" si="1"/>
        <v>0</v>
      </c>
      <c r="G244" s="12" t="s">
        <v>159</v>
      </c>
    </row>
    <row r="245" spans="1:7" x14ac:dyDescent="0.25">
      <c r="A245" s="14">
        <v>18</v>
      </c>
      <c r="B245" s="14" t="s">
        <v>37</v>
      </c>
      <c r="C245" s="46" t="s">
        <v>384</v>
      </c>
      <c r="D245" s="14">
        <v>2</v>
      </c>
      <c r="E245" s="14">
        <v>2</v>
      </c>
      <c r="F245" s="14">
        <f t="shared" si="1"/>
        <v>0</v>
      </c>
      <c r="G245" s="12"/>
    </row>
    <row r="246" spans="1:7" x14ac:dyDescent="0.25">
      <c r="A246" s="10">
        <v>18</v>
      </c>
      <c r="B246" s="10" t="s">
        <v>37</v>
      </c>
      <c r="C246" s="46" t="s">
        <v>106</v>
      </c>
      <c r="D246" s="10">
        <v>20</v>
      </c>
      <c r="E246" s="10">
        <v>18</v>
      </c>
      <c r="F246" s="10">
        <f t="shared" si="1"/>
        <v>2</v>
      </c>
      <c r="G246" s="11" t="s">
        <v>179</v>
      </c>
    </row>
    <row r="247" spans="1:7" x14ac:dyDescent="0.25">
      <c r="A247" s="10">
        <v>18</v>
      </c>
      <c r="B247" s="10" t="s">
        <v>37</v>
      </c>
      <c r="C247" s="46" t="s">
        <v>22</v>
      </c>
      <c r="D247" s="10">
        <v>150</v>
      </c>
      <c r="E247" s="10">
        <v>140</v>
      </c>
      <c r="F247" s="10">
        <f t="shared" si="1"/>
        <v>10</v>
      </c>
      <c r="G247" s="11" t="s">
        <v>610</v>
      </c>
    </row>
    <row r="248" spans="1:7" x14ac:dyDescent="0.25">
      <c r="A248" s="10">
        <v>18</v>
      </c>
      <c r="B248" s="10" t="s">
        <v>37</v>
      </c>
      <c r="C248" s="46" t="s">
        <v>131</v>
      </c>
      <c r="D248" s="10">
        <v>16</v>
      </c>
      <c r="E248" s="10">
        <v>14</v>
      </c>
      <c r="F248" s="10">
        <f t="shared" si="1"/>
        <v>2</v>
      </c>
      <c r="G248" s="11"/>
    </row>
    <row r="249" spans="1:7" x14ac:dyDescent="0.25">
      <c r="A249" s="76"/>
      <c r="B249" s="76" t="s">
        <v>165</v>
      </c>
      <c r="C249" s="78"/>
      <c r="D249" s="76"/>
      <c r="E249" s="76"/>
      <c r="F249" s="76"/>
      <c r="G249" s="78"/>
    </row>
    <row r="250" spans="1:7" x14ac:dyDescent="0.25">
      <c r="A250" s="10">
        <v>18</v>
      </c>
      <c r="B250" s="10" t="s">
        <v>165</v>
      </c>
      <c r="C250" s="46" t="s">
        <v>330</v>
      </c>
      <c r="D250" s="10">
        <v>28</v>
      </c>
      <c r="E250" s="10">
        <v>28</v>
      </c>
      <c r="F250" s="10">
        <f t="shared" si="1"/>
        <v>0</v>
      </c>
      <c r="G250" s="11" t="s">
        <v>159</v>
      </c>
    </row>
    <row r="251" spans="1:7" x14ac:dyDescent="0.25">
      <c r="A251" s="10">
        <v>18</v>
      </c>
      <c r="B251" s="10" t="s">
        <v>165</v>
      </c>
      <c r="C251" s="46" t="s">
        <v>639</v>
      </c>
      <c r="D251" s="10">
        <v>4</v>
      </c>
      <c r="E251" s="10">
        <v>4</v>
      </c>
      <c r="F251" s="10">
        <f t="shared" si="1"/>
        <v>0</v>
      </c>
      <c r="G251" s="11" t="s">
        <v>159</v>
      </c>
    </row>
    <row r="252" spans="1:7" x14ac:dyDescent="0.25">
      <c r="A252" s="10">
        <v>18</v>
      </c>
      <c r="B252" s="10" t="s">
        <v>165</v>
      </c>
      <c r="C252" s="46" t="s">
        <v>538</v>
      </c>
      <c r="D252" s="10">
        <v>16</v>
      </c>
      <c r="E252" s="10">
        <v>8</v>
      </c>
      <c r="F252" s="10">
        <f t="shared" si="1"/>
        <v>8</v>
      </c>
      <c r="G252" s="11" t="s">
        <v>159</v>
      </c>
    </row>
    <row r="253" spans="1:7" x14ac:dyDescent="0.25">
      <c r="A253" s="10">
        <v>18</v>
      </c>
      <c r="B253" s="10" t="s">
        <v>165</v>
      </c>
      <c r="C253" s="46" t="s">
        <v>510</v>
      </c>
      <c r="D253" s="10">
        <v>4</v>
      </c>
      <c r="E253" s="10"/>
      <c r="F253" s="10">
        <f t="shared" si="1"/>
        <v>4</v>
      </c>
      <c r="G253" s="11" t="s">
        <v>159</v>
      </c>
    </row>
    <row r="254" spans="1:7" x14ac:dyDescent="0.25">
      <c r="A254" s="76"/>
      <c r="B254" s="76" t="s">
        <v>46</v>
      </c>
      <c r="C254" s="78"/>
      <c r="D254" s="76"/>
      <c r="E254" s="76"/>
      <c r="F254" s="76"/>
      <c r="G254" s="78"/>
    </row>
    <row r="255" spans="1:7" x14ac:dyDescent="0.25">
      <c r="A255" s="10">
        <v>18</v>
      </c>
      <c r="B255" s="10" t="s">
        <v>46</v>
      </c>
      <c r="C255" s="46" t="s">
        <v>720</v>
      </c>
      <c r="D255" s="10">
        <v>8</v>
      </c>
      <c r="E255" s="10">
        <v>8</v>
      </c>
      <c r="F255" s="10">
        <f t="shared" si="1"/>
        <v>0</v>
      </c>
      <c r="G255" s="11" t="s">
        <v>159</v>
      </c>
    </row>
    <row r="256" spans="1:7" x14ac:dyDescent="0.25">
      <c r="A256" s="10">
        <v>18</v>
      </c>
      <c r="B256" s="10" t="s">
        <v>46</v>
      </c>
      <c r="C256" s="46" t="s">
        <v>115</v>
      </c>
      <c r="D256" s="10">
        <v>14</v>
      </c>
      <c r="E256" s="10">
        <v>14</v>
      </c>
      <c r="F256" s="10">
        <f t="shared" si="1"/>
        <v>0</v>
      </c>
      <c r="G256" s="11" t="s">
        <v>352</v>
      </c>
    </row>
    <row r="257" spans="1:8" x14ac:dyDescent="0.25">
      <c r="A257" s="10">
        <v>18</v>
      </c>
      <c r="B257" s="10" t="s">
        <v>46</v>
      </c>
      <c r="C257" s="46" t="s">
        <v>394</v>
      </c>
      <c r="D257" s="10">
        <v>2</v>
      </c>
      <c r="E257" s="10"/>
      <c r="F257" s="10">
        <f t="shared" si="1"/>
        <v>2</v>
      </c>
      <c r="G257" s="11" t="s">
        <v>631</v>
      </c>
    </row>
    <row r="258" spans="1:8" x14ac:dyDescent="0.25">
      <c r="A258" s="10">
        <v>18</v>
      </c>
      <c r="B258" s="10" t="s">
        <v>46</v>
      </c>
      <c r="C258" s="46" t="s">
        <v>145</v>
      </c>
      <c r="D258" s="10">
        <v>2</v>
      </c>
      <c r="E258" s="10">
        <v>2</v>
      </c>
      <c r="F258" s="10">
        <f t="shared" si="1"/>
        <v>0</v>
      </c>
      <c r="G258" s="11"/>
    </row>
    <row r="259" spans="1:8" x14ac:dyDescent="0.25">
      <c r="A259" s="10">
        <v>18</v>
      </c>
      <c r="B259" s="10" t="s">
        <v>46</v>
      </c>
      <c r="C259" s="46" t="s">
        <v>275</v>
      </c>
      <c r="D259" s="10">
        <v>20</v>
      </c>
      <c r="E259" s="10">
        <v>16</v>
      </c>
      <c r="F259" s="10">
        <f t="shared" si="1"/>
        <v>4</v>
      </c>
      <c r="G259" s="11" t="s">
        <v>159</v>
      </c>
    </row>
    <row r="260" spans="1:8" x14ac:dyDescent="0.25">
      <c r="A260" s="76"/>
      <c r="B260" s="76" t="s">
        <v>43</v>
      </c>
      <c r="C260" s="78"/>
      <c r="D260" s="76"/>
      <c r="E260" s="76"/>
      <c r="F260" s="76"/>
      <c r="G260" s="78"/>
    </row>
    <row r="261" spans="1:8" x14ac:dyDescent="0.25">
      <c r="A261" s="10">
        <v>18</v>
      </c>
      <c r="B261" s="10" t="s">
        <v>43</v>
      </c>
      <c r="C261" s="46" t="s">
        <v>1021</v>
      </c>
      <c r="D261" s="10">
        <v>18</v>
      </c>
      <c r="E261" s="10">
        <v>18</v>
      </c>
      <c r="F261" s="10">
        <f t="shared" si="1"/>
        <v>0</v>
      </c>
      <c r="G261" s="11" t="s">
        <v>936</v>
      </c>
      <c r="H261">
        <v>2020</v>
      </c>
    </row>
    <row r="262" spans="1:8" x14ac:dyDescent="0.25">
      <c r="A262" s="10">
        <v>18</v>
      </c>
      <c r="B262" s="10" t="s">
        <v>43</v>
      </c>
      <c r="C262" s="46" t="s">
        <v>602</v>
      </c>
      <c r="D262" s="10">
        <v>2</v>
      </c>
      <c r="E262" s="10"/>
      <c r="F262" s="10">
        <f t="shared" si="1"/>
        <v>2</v>
      </c>
      <c r="G262" s="11" t="s">
        <v>607</v>
      </c>
    </row>
    <row r="263" spans="1:8" x14ac:dyDescent="0.25">
      <c r="A263" s="10">
        <v>18</v>
      </c>
      <c r="B263" s="10" t="s">
        <v>43</v>
      </c>
      <c r="C263" s="46" t="s">
        <v>106</v>
      </c>
      <c r="D263" s="10">
        <v>6</v>
      </c>
      <c r="E263" s="10">
        <v>2</v>
      </c>
      <c r="F263" s="10">
        <f t="shared" si="1"/>
        <v>4</v>
      </c>
      <c r="G263" s="11" t="s">
        <v>915</v>
      </c>
    </row>
    <row r="264" spans="1:8" x14ac:dyDescent="0.25">
      <c r="A264" s="10">
        <v>18</v>
      </c>
      <c r="B264" s="10" t="s">
        <v>43</v>
      </c>
      <c r="C264" s="46" t="s">
        <v>1042</v>
      </c>
      <c r="D264" s="10">
        <v>8</v>
      </c>
      <c r="E264" s="10">
        <v>6</v>
      </c>
      <c r="F264" s="10">
        <f t="shared" si="1"/>
        <v>2</v>
      </c>
      <c r="G264" s="11" t="s">
        <v>159</v>
      </c>
    </row>
    <row r="265" spans="1:8" x14ac:dyDescent="0.25">
      <c r="A265" s="10">
        <v>18</v>
      </c>
      <c r="B265" s="10" t="s">
        <v>43</v>
      </c>
      <c r="C265" s="46" t="s">
        <v>1077</v>
      </c>
      <c r="D265" s="10">
        <v>2</v>
      </c>
      <c r="E265" s="10">
        <v>2</v>
      </c>
      <c r="F265" s="10">
        <f t="shared" si="1"/>
        <v>0</v>
      </c>
      <c r="G265" s="11" t="s">
        <v>159</v>
      </c>
    </row>
    <row r="266" spans="1:8" x14ac:dyDescent="0.25">
      <c r="A266" s="10">
        <v>18</v>
      </c>
      <c r="B266" s="10" t="s">
        <v>43</v>
      </c>
      <c r="C266" s="46" t="s">
        <v>45</v>
      </c>
      <c r="D266" s="10">
        <v>34</v>
      </c>
      <c r="E266" s="10">
        <v>34</v>
      </c>
      <c r="F266" s="10">
        <f t="shared" si="1"/>
        <v>0</v>
      </c>
      <c r="G266" s="11" t="s">
        <v>28</v>
      </c>
    </row>
    <row r="267" spans="1:8" x14ac:dyDescent="0.25">
      <c r="A267" s="10">
        <v>18</v>
      </c>
      <c r="B267" s="10" t="s">
        <v>43</v>
      </c>
      <c r="C267" s="46" t="s">
        <v>359</v>
      </c>
      <c r="D267" s="10">
        <v>2</v>
      </c>
      <c r="E267" s="10"/>
      <c r="F267" s="10">
        <f t="shared" si="1"/>
        <v>2</v>
      </c>
      <c r="G267" s="11" t="s">
        <v>988</v>
      </c>
    </row>
    <row r="268" spans="1:8" x14ac:dyDescent="0.25">
      <c r="A268" s="10">
        <v>18</v>
      </c>
      <c r="B268" s="10" t="s">
        <v>43</v>
      </c>
      <c r="C268" s="46" t="s">
        <v>752</v>
      </c>
      <c r="D268" s="10">
        <v>12</v>
      </c>
      <c r="E268" s="10">
        <v>8</v>
      </c>
      <c r="F268" s="10">
        <f t="shared" si="1"/>
        <v>4</v>
      </c>
      <c r="G268" s="11" t="s">
        <v>354</v>
      </c>
    </row>
    <row r="269" spans="1:8" x14ac:dyDescent="0.25">
      <c r="A269" s="10">
        <v>18</v>
      </c>
      <c r="B269" s="14" t="s">
        <v>43</v>
      </c>
      <c r="C269" s="46" t="s">
        <v>90</v>
      </c>
      <c r="D269" s="10">
        <v>14</v>
      </c>
      <c r="E269" s="10">
        <v>12</v>
      </c>
      <c r="F269" s="10">
        <f t="shared" si="1"/>
        <v>2</v>
      </c>
      <c r="G269" s="11" t="s">
        <v>28</v>
      </c>
    </row>
    <row r="270" spans="1:8" x14ac:dyDescent="0.25">
      <c r="A270" s="76"/>
      <c r="B270" s="76" t="s">
        <v>63</v>
      </c>
      <c r="C270" s="78"/>
      <c r="D270" s="76"/>
      <c r="E270" s="76"/>
      <c r="F270" s="76"/>
      <c r="G270" s="78"/>
    </row>
    <row r="271" spans="1:8" x14ac:dyDescent="0.25">
      <c r="A271" s="10">
        <v>18</v>
      </c>
      <c r="B271" s="14" t="s">
        <v>63</v>
      </c>
      <c r="C271" s="46" t="s">
        <v>569</v>
      </c>
      <c r="D271" s="10">
        <v>16</v>
      </c>
      <c r="E271" s="10">
        <v>12</v>
      </c>
      <c r="F271" s="10">
        <f t="shared" si="1"/>
        <v>4</v>
      </c>
      <c r="G271" s="11" t="s">
        <v>159</v>
      </c>
    </row>
    <row r="272" spans="1:8" x14ac:dyDescent="0.25">
      <c r="A272" s="10">
        <v>18</v>
      </c>
      <c r="B272" s="14" t="s">
        <v>63</v>
      </c>
      <c r="C272" s="46" t="s">
        <v>954</v>
      </c>
      <c r="D272" s="10">
        <v>4</v>
      </c>
      <c r="E272" s="10">
        <v>2</v>
      </c>
      <c r="F272" s="10">
        <f t="shared" si="1"/>
        <v>2</v>
      </c>
      <c r="G272" s="11"/>
    </row>
    <row r="273" spans="1:8" x14ac:dyDescent="0.25">
      <c r="A273" s="10">
        <v>18</v>
      </c>
      <c r="B273" s="14" t="s">
        <v>63</v>
      </c>
      <c r="C273" s="46" t="s">
        <v>276</v>
      </c>
      <c r="D273" s="10">
        <v>4</v>
      </c>
      <c r="E273" s="10">
        <v>4</v>
      </c>
      <c r="F273" s="10">
        <f t="shared" si="1"/>
        <v>0</v>
      </c>
      <c r="G273" s="11"/>
      <c r="H273" t="s">
        <v>305</v>
      </c>
    </row>
    <row r="274" spans="1:8" x14ac:dyDescent="0.25">
      <c r="A274" s="10">
        <v>18</v>
      </c>
      <c r="B274" s="14" t="s">
        <v>63</v>
      </c>
      <c r="C274" s="46" t="s">
        <v>270</v>
      </c>
      <c r="D274" s="10">
        <v>4</v>
      </c>
      <c r="E274" s="10">
        <v>4</v>
      </c>
      <c r="F274" s="10">
        <f t="shared" si="1"/>
        <v>0</v>
      </c>
      <c r="G274" s="11" t="s">
        <v>159</v>
      </c>
    </row>
    <row r="275" spans="1:8" x14ac:dyDescent="0.25">
      <c r="A275" s="10">
        <v>18</v>
      </c>
      <c r="B275" s="14" t="s">
        <v>63</v>
      </c>
      <c r="C275" s="46" t="s">
        <v>45</v>
      </c>
      <c r="D275" s="10">
        <v>6</v>
      </c>
      <c r="E275" s="10">
        <v>6</v>
      </c>
      <c r="F275" s="10">
        <f t="shared" si="1"/>
        <v>0</v>
      </c>
      <c r="G275" s="11"/>
    </row>
    <row r="276" spans="1:8" x14ac:dyDescent="0.25">
      <c r="A276" s="10">
        <v>18</v>
      </c>
      <c r="B276" s="14" t="s">
        <v>63</v>
      </c>
      <c r="C276" s="46" t="s">
        <v>485</v>
      </c>
      <c r="D276" s="10">
        <v>4</v>
      </c>
      <c r="E276" s="10">
        <v>4</v>
      </c>
      <c r="F276" s="10">
        <f t="shared" si="1"/>
        <v>0</v>
      </c>
      <c r="G276" s="11" t="s">
        <v>159</v>
      </c>
    </row>
    <row r="277" spans="1:8" x14ac:dyDescent="0.25">
      <c r="A277" s="10">
        <v>18</v>
      </c>
      <c r="B277" s="14" t="s">
        <v>63</v>
      </c>
      <c r="C277" s="46" t="s">
        <v>486</v>
      </c>
      <c r="D277" s="10">
        <v>2</v>
      </c>
      <c r="E277" s="10">
        <v>2</v>
      </c>
      <c r="F277" s="10">
        <f t="shared" si="1"/>
        <v>0</v>
      </c>
      <c r="G277" s="11" t="s">
        <v>159</v>
      </c>
    </row>
    <row r="278" spans="1:8" x14ac:dyDescent="0.25">
      <c r="A278" s="10">
        <v>18</v>
      </c>
      <c r="B278" s="14" t="s">
        <v>63</v>
      </c>
      <c r="C278" s="46" t="s">
        <v>327</v>
      </c>
      <c r="D278" s="10">
        <v>2</v>
      </c>
      <c r="E278" s="10"/>
      <c r="F278" s="10">
        <f t="shared" si="1"/>
        <v>2</v>
      </c>
      <c r="G278" s="11" t="s">
        <v>159</v>
      </c>
    </row>
    <row r="279" spans="1:8" x14ac:dyDescent="0.25">
      <c r="A279" s="10">
        <v>18</v>
      </c>
      <c r="B279" s="14" t="s">
        <v>63</v>
      </c>
      <c r="C279" s="46" t="s">
        <v>419</v>
      </c>
      <c r="D279" s="10">
        <v>24</v>
      </c>
      <c r="E279" s="10">
        <v>24</v>
      </c>
      <c r="F279" s="10">
        <f t="shared" si="1"/>
        <v>0</v>
      </c>
      <c r="G279" s="11" t="s">
        <v>159</v>
      </c>
    </row>
    <row r="280" spans="1:8" x14ac:dyDescent="0.25">
      <c r="A280" s="10">
        <v>18</v>
      </c>
      <c r="B280" s="14" t="s">
        <v>63</v>
      </c>
      <c r="C280" s="46" t="s">
        <v>360</v>
      </c>
      <c r="D280" s="10">
        <v>24</v>
      </c>
      <c r="E280" s="10">
        <v>24</v>
      </c>
      <c r="F280" s="10">
        <f t="shared" si="1"/>
        <v>0</v>
      </c>
      <c r="G280" s="11" t="s">
        <v>159</v>
      </c>
    </row>
    <row r="281" spans="1:8" x14ac:dyDescent="0.25">
      <c r="A281" s="10">
        <v>18</v>
      </c>
      <c r="B281" s="14" t="s">
        <v>63</v>
      </c>
      <c r="C281" s="46" t="s">
        <v>398</v>
      </c>
      <c r="D281" s="10">
        <v>22</v>
      </c>
      <c r="E281" s="10">
        <v>22</v>
      </c>
      <c r="F281" s="10">
        <f t="shared" si="1"/>
        <v>0</v>
      </c>
      <c r="G281" s="11" t="s">
        <v>159</v>
      </c>
    </row>
    <row r="282" spans="1:8" x14ac:dyDescent="0.25">
      <c r="A282" s="76">
        <v>18</v>
      </c>
      <c r="B282" s="76" t="s">
        <v>13</v>
      </c>
      <c r="C282" s="78"/>
      <c r="D282" s="76"/>
      <c r="E282" s="76"/>
      <c r="F282" s="76"/>
      <c r="G282" s="78"/>
    </row>
    <row r="283" spans="1:8" x14ac:dyDescent="0.25">
      <c r="A283" s="10">
        <v>18</v>
      </c>
      <c r="B283" s="14" t="s">
        <v>13</v>
      </c>
      <c r="C283" s="46" t="s">
        <v>40</v>
      </c>
      <c r="D283" s="10">
        <v>16</v>
      </c>
      <c r="E283" s="10">
        <v>16</v>
      </c>
      <c r="F283" s="10">
        <f t="shared" si="1"/>
        <v>0</v>
      </c>
      <c r="G283" s="11" t="s">
        <v>499</v>
      </c>
    </row>
    <row r="284" spans="1:8" x14ac:dyDescent="0.25">
      <c r="A284" s="10">
        <v>18</v>
      </c>
      <c r="B284" s="14" t="s">
        <v>13</v>
      </c>
      <c r="C284" s="46" t="s">
        <v>264</v>
      </c>
      <c r="D284" s="10">
        <v>16</v>
      </c>
      <c r="E284" s="10">
        <v>16</v>
      </c>
      <c r="F284" s="10">
        <f t="shared" si="1"/>
        <v>0</v>
      </c>
      <c r="G284" s="11" t="s">
        <v>1009</v>
      </c>
      <c r="H284" s="152"/>
    </row>
    <row r="285" spans="1:8" x14ac:dyDescent="0.25">
      <c r="A285" s="10">
        <v>18</v>
      </c>
      <c r="B285" s="14" t="s">
        <v>13</v>
      </c>
      <c r="C285" s="46" t="s">
        <v>554</v>
      </c>
      <c r="D285" s="10">
        <v>6</v>
      </c>
      <c r="E285" s="10">
        <v>6</v>
      </c>
      <c r="F285" s="10">
        <f t="shared" si="1"/>
        <v>0</v>
      </c>
      <c r="G285" s="11" t="s">
        <v>159</v>
      </c>
    </row>
    <row r="286" spans="1:8" x14ac:dyDescent="0.25">
      <c r="A286" s="10">
        <v>18</v>
      </c>
      <c r="B286" s="14" t="s">
        <v>13</v>
      </c>
      <c r="C286" s="46" t="s">
        <v>398</v>
      </c>
      <c r="D286" s="10">
        <v>8</v>
      </c>
      <c r="E286" s="10">
        <v>8</v>
      </c>
      <c r="F286" s="10">
        <f t="shared" si="1"/>
        <v>0</v>
      </c>
      <c r="G286" s="11" t="s">
        <v>524</v>
      </c>
    </row>
    <row r="287" spans="1:8" x14ac:dyDescent="0.25">
      <c r="A287" s="10">
        <v>18</v>
      </c>
      <c r="B287" s="14" t="s">
        <v>246</v>
      </c>
      <c r="C287" s="46" t="s">
        <v>493</v>
      </c>
      <c r="D287" s="10">
        <v>10</v>
      </c>
      <c r="E287" s="10">
        <v>6</v>
      </c>
      <c r="F287" s="10">
        <f t="shared" si="1"/>
        <v>4</v>
      </c>
      <c r="G287" s="11"/>
    </row>
    <row r="288" spans="1:8" x14ac:dyDescent="0.25">
      <c r="A288" s="76">
        <v>18</v>
      </c>
      <c r="B288" s="76" t="s">
        <v>55</v>
      </c>
      <c r="C288" s="78"/>
      <c r="D288" s="77"/>
      <c r="E288" s="77"/>
      <c r="F288" s="77"/>
      <c r="G288" s="94"/>
    </row>
    <row r="289" spans="1:9" x14ac:dyDescent="0.25">
      <c r="A289" s="119">
        <v>18</v>
      </c>
      <c r="B289" s="10" t="s">
        <v>935</v>
      </c>
      <c r="C289" s="46" t="s">
        <v>106</v>
      </c>
      <c r="D289" s="13">
        <v>2</v>
      </c>
      <c r="E289" s="13">
        <v>2</v>
      </c>
      <c r="F289" s="13">
        <f t="shared" ref="F289:F317" si="2">D289-E289</f>
        <v>0</v>
      </c>
      <c r="G289" s="15"/>
    </row>
    <row r="290" spans="1:9" x14ac:dyDescent="0.25">
      <c r="A290" s="10">
        <v>18</v>
      </c>
      <c r="B290" s="10" t="s">
        <v>55</v>
      </c>
      <c r="C290" s="46" t="s">
        <v>256</v>
      </c>
      <c r="D290" s="13">
        <v>4</v>
      </c>
      <c r="E290" s="13">
        <v>4</v>
      </c>
      <c r="F290" s="13">
        <f t="shared" si="2"/>
        <v>0</v>
      </c>
      <c r="G290" s="15"/>
    </row>
    <row r="291" spans="1:9" x14ac:dyDescent="0.25">
      <c r="A291" s="10">
        <v>18</v>
      </c>
      <c r="B291" s="10" t="s">
        <v>55</v>
      </c>
      <c r="C291" s="46" t="s">
        <v>275</v>
      </c>
      <c r="D291" s="13">
        <v>16</v>
      </c>
      <c r="E291" s="13">
        <v>14</v>
      </c>
      <c r="F291" s="13">
        <f t="shared" si="2"/>
        <v>2</v>
      </c>
      <c r="G291" s="15" t="s">
        <v>354</v>
      </c>
    </row>
    <row r="292" spans="1:9" x14ac:dyDescent="0.25">
      <c r="A292" s="10">
        <v>18</v>
      </c>
      <c r="B292" s="10" t="s">
        <v>55</v>
      </c>
      <c r="C292" s="46" t="s">
        <v>115</v>
      </c>
      <c r="D292" s="13">
        <v>10</v>
      </c>
      <c r="E292" s="13">
        <v>10</v>
      </c>
      <c r="F292" s="13">
        <f t="shared" si="2"/>
        <v>0</v>
      </c>
      <c r="G292" s="15" t="s">
        <v>410</v>
      </c>
    </row>
    <row r="293" spans="1:9" x14ac:dyDescent="0.25">
      <c r="A293" s="10">
        <v>18</v>
      </c>
      <c r="B293" s="10" t="s">
        <v>55</v>
      </c>
      <c r="C293" s="46" t="s">
        <v>753</v>
      </c>
      <c r="D293" s="13">
        <v>2</v>
      </c>
      <c r="E293" s="13">
        <v>2</v>
      </c>
      <c r="F293" s="13">
        <f t="shared" si="2"/>
        <v>0</v>
      </c>
      <c r="G293" s="15" t="s">
        <v>354</v>
      </c>
    </row>
    <row r="294" spans="1:9" x14ac:dyDescent="0.25">
      <c r="A294" s="76">
        <v>18</v>
      </c>
      <c r="B294" s="76" t="s">
        <v>150</v>
      </c>
      <c r="C294" s="78"/>
      <c r="D294" s="77"/>
      <c r="E294" s="77"/>
      <c r="F294" s="77"/>
      <c r="G294" s="94"/>
    </row>
    <row r="295" spans="1:9" x14ac:dyDescent="0.25">
      <c r="A295" s="14">
        <v>18</v>
      </c>
      <c r="B295" s="14" t="s">
        <v>150</v>
      </c>
      <c r="C295" s="113" t="s">
        <v>248</v>
      </c>
      <c r="D295" s="111">
        <v>2</v>
      </c>
      <c r="E295" s="111"/>
      <c r="F295" s="13">
        <f t="shared" si="2"/>
        <v>2</v>
      </c>
      <c r="G295" s="112"/>
    </row>
    <row r="296" spans="1:9" x14ac:dyDescent="0.25">
      <c r="A296" s="14">
        <v>18</v>
      </c>
      <c r="B296" s="14" t="s">
        <v>150</v>
      </c>
      <c r="C296" s="113" t="s">
        <v>214</v>
      </c>
      <c r="D296" s="111">
        <v>2</v>
      </c>
      <c r="E296" s="111"/>
      <c r="F296" s="13">
        <f t="shared" si="2"/>
        <v>2</v>
      </c>
      <c r="G296" s="112"/>
    </row>
    <row r="297" spans="1:9" x14ac:dyDescent="0.25">
      <c r="A297" s="14">
        <v>18</v>
      </c>
      <c r="B297" s="14" t="s">
        <v>150</v>
      </c>
      <c r="C297" s="113" t="s">
        <v>563</v>
      </c>
      <c r="D297" s="111">
        <v>8</v>
      </c>
      <c r="E297" s="111">
        <v>8</v>
      </c>
      <c r="F297" s="13">
        <f t="shared" si="2"/>
        <v>0</v>
      </c>
      <c r="G297" s="112"/>
    </row>
    <row r="298" spans="1:9" x14ac:dyDescent="0.25">
      <c r="A298" s="14">
        <v>18</v>
      </c>
      <c r="B298" s="10" t="s">
        <v>150</v>
      </c>
      <c r="C298" s="46" t="s">
        <v>892</v>
      </c>
      <c r="D298" s="13">
        <v>10</v>
      </c>
      <c r="E298" s="13">
        <v>6</v>
      </c>
      <c r="F298" s="13">
        <f t="shared" si="2"/>
        <v>4</v>
      </c>
      <c r="G298" s="15"/>
    </row>
    <row r="299" spans="1:9" x14ac:dyDescent="0.25">
      <c r="A299" s="10">
        <v>18</v>
      </c>
      <c r="B299" s="10" t="s">
        <v>150</v>
      </c>
      <c r="C299" s="46" t="s">
        <v>218</v>
      </c>
      <c r="D299" s="13">
        <v>130</v>
      </c>
      <c r="E299" s="13">
        <v>126</v>
      </c>
      <c r="F299" s="13">
        <f t="shared" si="2"/>
        <v>4</v>
      </c>
      <c r="G299" s="15" t="s">
        <v>159</v>
      </c>
      <c r="H299" t="s">
        <v>458</v>
      </c>
      <c r="I299" t="s">
        <v>740</v>
      </c>
    </row>
    <row r="300" spans="1:9" x14ac:dyDescent="0.25">
      <c r="A300" s="10">
        <v>18</v>
      </c>
      <c r="B300" s="10" t="s">
        <v>150</v>
      </c>
      <c r="C300" s="46" t="s">
        <v>1060</v>
      </c>
      <c r="D300" s="13">
        <v>12</v>
      </c>
      <c r="E300" s="13">
        <v>8</v>
      </c>
      <c r="F300" s="13">
        <f t="shared" si="2"/>
        <v>4</v>
      </c>
      <c r="G300" s="15" t="s">
        <v>159</v>
      </c>
    </row>
    <row r="301" spans="1:9" x14ac:dyDescent="0.25">
      <c r="A301" s="76">
        <v>18</v>
      </c>
      <c r="B301" s="76" t="s">
        <v>195</v>
      </c>
      <c r="C301" s="78"/>
      <c r="D301" s="77"/>
      <c r="E301" s="77"/>
      <c r="F301" s="118"/>
      <c r="G301" s="94"/>
    </row>
    <row r="302" spans="1:9" x14ac:dyDescent="0.25">
      <c r="A302" s="10">
        <v>18</v>
      </c>
      <c r="B302" s="10" t="s">
        <v>51</v>
      </c>
      <c r="C302" s="46" t="s">
        <v>22</v>
      </c>
      <c r="D302" s="13">
        <v>10</v>
      </c>
      <c r="E302" s="13">
        <v>8</v>
      </c>
      <c r="F302" s="13">
        <f t="shared" si="2"/>
        <v>2</v>
      </c>
      <c r="G302" s="15" t="s">
        <v>393</v>
      </c>
      <c r="H302" t="s">
        <v>661</v>
      </c>
    </row>
    <row r="303" spans="1:9" x14ac:dyDescent="0.25">
      <c r="A303" s="10">
        <v>18</v>
      </c>
      <c r="B303" s="10" t="s">
        <v>51</v>
      </c>
      <c r="C303" s="46" t="s">
        <v>602</v>
      </c>
      <c r="D303" s="13">
        <v>2</v>
      </c>
      <c r="E303" s="13">
        <v>2</v>
      </c>
      <c r="F303" s="13">
        <f t="shared" si="2"/>
        <v>0</v>
      </c>
      <c r="G303" s="15"/>
    </row>
    <row r="304" spans="1:9" x14ac:dyDescent="0.25">
      <c r="A304" s="10">
        <v>18</v>
      </c>
      <c r="B304" s="10" t="s">
        <v>51</v>
      </c>
      <c r="C304" s="46" t="s">
        <v>364</v>
      </c>
      <c r="D304" s="13">
        <v>10</v>
      </c>
      <c r="E304" s="13">
        <v>10</v>
      </c>
      <c r="F304" s="13">
        <f t="shared" si="2"/>
        <v>0</v>
      </c>
      <c r="G304" s="15" t="s">
        <v>28</v>
      </c>
    </row>
    <row r="305" spans="1:9" x14ac:dyDescent="0.25">
      <c r="A305" s="10">
        <v>18</v>
      </c>
      <c r="B305" s="10" t="s">
        <v>51</v>
      </c>
      <c r="C305" s="46" t="s">
        <v>190</v>
      </c>
      <c r="D305" s="13">
        <v>10</v>
      </c>
      <c r="E305" s="13">
        <v>10</v>
      </c>
      <c r="F305" s="13">
        <f t="shared" si="2"/>
        <v>0</v>
      </c>
      <c r="G305" s="15"/>
    </row>
    <row r="306" spans="1:9" x14ac:dyDescent="0.25">
      <c r="A306" s="10">
        <v>18</v>
      </c>
      <c r="B306" s="10" t="s">
        <v>51</v>
      </c>
      <c r="C306" s="46" t="s">
        <v>955</v>
      </c>
      <c r="D306" s="13">
        <v>6</v>
      </c>
      <c r="E306" s="13">
        <v>4</v>
      </c>
      <c r="F306" s="13">
        <f t="shared" si="2"/>
        <v>2</v>
      </c>
      <c r="G306" s="15"/>
    </row>
    <row r="307" spans="1:9" x14ac:dyDescent="0.25">
      <c r="A307" s="10">
        <v>18</v>
      </c>
      <c r="B307" s="10" t="s">
        <v>91</v>
      </c>
      <c r="C307" s="46" t="s">
        <v>353</v>
      </c>
      <c r="D307" s="13">
        <v>10</v>
      </c>
      <c r="E307" s="13">
        <v>8</v>
      </c>
      <c r="F307" s="13">
        <f t="shared" si="2"/>
        <v>2</v>
      </c>
      <c r="G307" s="15"/>
    </row>
    <row r="308" spans="1:9" x14ac:dyDescent="0.25">
      <c r="A308" s="10">
        <v>18</v>
      </c>
      <c r="B308" s="10" t="s">
        <v>91</v>
      </c>
      <c r="C308" s="46" t="s">
        <v>22</v>
      </c>
      <c r="D308" s="13">
        <v>4</v>
      </c>
      <c r="E308" s="13">
        <v>2</v>
      </c>
      <c r="F308" s="13">
        <f t="shared" si="2"/>
        <v>2</v>
      </c>
      <c r="G308" s="15" t="s">
        <v>159</v>
      </c>
    </row>
    <row r="309" spans="1:9" x14ac:dyDescent="0.25">
      <c r="A309" s="10">
        <v>18</v>
      </c>
      <c r="B309" s="10" t="s">
        <v>91</v>
      </c>
      <c r="C309" s="46" t="s">
        <v>41</v>
      </c>
      <c r="D309" s="13">
        <v>2</v>
      </c>
      <c r="E309" s="13"/>
      <c r="F309" s="13">
        <f t="shared" si="2"/>
        <v>2</v>
      </c>
      <c r="G309" s="15" t="s">
        <v>159</v>
      </c>
    </row>
    <row r="310" spans="1:9" x14ac:dyDescent="0.25">
      <c r="A310" s="10">
        <v>18</v>
      </c>
      <c r="B310" s="10" t="s">
        <v>53</v>
      </c>
      <c r="C310" s="46" t="s">
        <v>1042</v>
      </c>
      <c r="D310" s="13">
        <v>6</v>
      </c>
      <c r="E310" s="13">
        <v>4</v>
      </c>
      <c r="F310" s="13">
        <f t="shared" si="2"/>
        <v>2</v>
      </c>
      <c r="G310" s="15" t="s">
        <v>159</v>
      </c>
    </row>
    <row r="311" spans="1:9" x14ac:dyDescent="0.25">
      <c r="A311" s="10">
        <v>18</v>
      </c>
      <c r="B311" s="10" t="s">
        <v>96</v>
      </c>
      <c r="C311" s="46" t="s">
        <v>117</v>
      </c>
      <c r="D311" s="13">
        <v>4</v>
      </c>
      <c r="E311" s="13">
        <v>2</v>
      </c>
      <c r="F311" s="13">
        <f t="shared" si="2"/>
        <v>2</v>
      </c>
      <c r="G311" s="15" t="s">
        <v>159</v>
      </c>
    </row>
    <row r="312" spans="1:9" x14ac:dyDescent="0.25">
      <c r="A312" s="10">
        <v>18</v>
      </c>
      <c r="B312" s="10" t="s">
        <v>174</v>
      </c>
      <c r="C312" s="46" t="s">
        <v>954</v>
      </c>
      <c r="D312" s="13">
        <v>2</v>
      </c>
      <c r="E312" s="13"/>
      <c r="F312" s="13">
        <f t="shared" si="2"/>
        <v>2</v>
      </c>
      <c r="G312" s="15"/>
    </row>
    <row r="313" spans="1:9" x14ac:dyDescent="0.25">
      <c r="A313" s="10">
        <v>18</v>
      </c>
      <c r="B313" s="10" t="s">
        <v>217</v>
      </c>
      <c r="C313" s="46" t="s">
        <v>363</v>
      </c>
      <c r="D313" s="13">
        <v>8</v>
      </c>
      <c r="E313" s="13">
        <v>4</v>
      </c>
      <c r="F313" s="13">
        <f t="shared" si="2"/>
        <v>4</v>
      </c>
      <c r="G313" s="15" t="s">
        <v>159</v>
      </c>
    </row>
    <row r="314" spans="1:9" x14ac:dyDescent="0.25">
      <c r="A314" s="10">
        <v>18</v>
      </c>
      <c r="B314" s="10" t="s">
        <v>217</v>
      </c>
      <c r="C314" s="46" t="s">
        <v>413</v>
      </c>
      <c r="D314" s="13">
        <v>4</v>
      </c>
      <c r="E314" s="13">
        <v>4</v>
      </c>
      <c r="F314" s="13">
        <f t="shared" si="2"/>
        <v>0</v>
      </c>
      <c r="G314" s="15" t="s">
        <v>787</v>
      </c>
    </row>
    <row r="315" spans="1:9" x14ac:dyDescent="0.25">
      <c r="A315" s="10">
        <v>18</v>
      </c>
      <c r="B315" s="10" t="s">
        <v>217</v>
      </c>
      <c r="C315" s="46" t="s">
        <v>584</v>
      </c>
      <c r="D315" s="13">
        <v>10</v>
      </c>
      <c r="E315" s="13">
        <v>10</v>
      </c>
      <c r="F315" s="13">
        <f t="shared" si="2"/>
        <v>0</v>
      </c>
      <c r="G315" s="15" t="s">
        <v>159</v>
      </c>
    </row>
    <row r="316" spans="1:9" x14ac:dyDescent="0.25">
      <c r="A316" s="10">
        <v>18</v>
      </c>
      <c r="B316" s="10" t="s">
        <v>217</v>
      </c>
      <c r="C316" s="46" t="s">
        <v>503</v>
      </c>
      <c r="D316" s="13">
        <v>16</v>
      </c>
      <c r="E316" s="13">
        <v>16</v>
      </c>
      <c r="F316" s="13">
        <f t="shared" si="2"/>
        <v>0</v>
      </c>
      <c r="G316" s="15" t="s">
        <v>159</v>
      </c>
    </row>
    <row r="317" spans="1:9" x14ac:dyDescent="0.25">
      <c r="A317" s="10">
        <v>18</v>
      </c>
      <c r="B317" s="10" t="s">
        <v>217</v>
      </c>
      <c r="C317" s="46" t="s">
        <v>218</v>
      </c>
      <c r="D317" s="13">
        <v>64</v>
      </c>
      <c r="E317" s="13">
        <v>56</v>
      </c>
      <c r="F317" s="13">
        <f t="shared" si="2"/>
        <v>8</v>
      </c>
      <c r="G317" s="15" t="s">
        <v>159</v>
      </c>
      <c r="H317" t="s">
        <v>460</v>
      </c>
      <c r="I317" t="s">
        <v>406</v>
      </c>
    </row>
    <row r="318" spans="1:9" x14ac:dyDescent="0.25">
      <c r="A318" s="10"/>
      <c r="B318" s="11"/>
      <c r="C318" s="16" t="s">
        <v>47</v>
      </c>
      <c r="D318" s="130">
        <f>SUM(D2:D317)</f>
        <v>4534</v>
      </c>
      <c r="E318" s="131">
        <f>SUM(E2:E317)</f>
        <v>3752</v>
      </c>
      <c r="F318" s="132">
        <f>SUM(F2:F317)</f>
        <v>782</v>
      </c>
      <c r="G318" s="11"/>
    </row>
  </sheetData>
  <sortState xmlns:xlrd2="http://schemas.microsoft.com/office/spreadsheetml/2017/richdata2" ref="A2:G71">
    <sortCondition ref="B2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82"/>
  <sheetViews>
    <sheetView tabSelected="1" topLeftCell="A256" zoomScale="130" zoomScaleNormal="130" workbookViewId="0">
      <selection activeCell="M14" sqref="M14"/>
    </sheetView>
  </sheetViews>
  <sheetFormatPr defaultRowHeight="15" x14ac:dyDescent="0.25"/>
  <cols>
    <col min="1" max="1" width="5.28515625" customWidth="1"/>
    <col min="2" max="2" width="9.42578125" customWidth="1"/>
    <col min="3" max="3" width="28.140625" customWidth="1"/>
    <col min="4" max="4" width="7.85546875" customWidth="1"/>
    <col min="5" max="5" width="7.42578125" customWidth="1"/>
    <col min="6" max="6" width="7.5703125" customWidth="1"/>
    <col min="7" max="7" width="10" customWidth="1"/>
    <col min="8" max="8" width="15.7109375" style="1" customWidth="1"/>
    <col min="9" max="9" width="9.140625" style="1"/>
  </cols>
  <sheetData>
    <row r="1" spans="1:9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63" t="s">
        <v>6</v>
      </c>
      <c r="H1" s="176" t="s">
        <v>1102</v>
      </c>
      <c r="I1" s="176" t="s">
        <v>1103</v>
      </c>
    </row>
    <row r="2" spans="1:9" x14ac:dyDescent="0.25">
      <c r="A2" s="114"/>
      <c r="B2" s="114"/>
      <c r="C2" s="114"/>
      <c r="D2" s="157"/>
      <c r="E2" s="157"/>
      <c r="F2" s="157"/>
      <c r="G2" s="172"/>
    </row>
    <row r="3" spans="1:9" x14ac:dyDescent="0.25">
      <c r="A3" s="2">
        <v>19</v>
      </c>
      <c r="B3" s="2" t="s">
        <v>12</v>
      </c>
      <c r="C3" s="158" t="s">
        <v>617</v>
      </c>
      <c r="D3" s="3">
        <v>4</v>
      </c>
      <c r="E3" s="3">
        <v>4</v>
      </c>
      <c r="F3" s="3">
        <v>0</v>
      </c>
      <c r="G3" s="63"/>
    </row>
    <row r="4" spans="1:9" x14ac:dyDescent="0.25">
      <c r="A4" s="17">
        <v>19</v>
      </c>
      <c r="B4" s="20" t="s">
        <v>12</v>
      </c>
      <c r="C4" s="88" t="s">
        <v>530</v>
      </c>
      <c r="D4" s="20">
        <v>8</v>
      </c>
      <c r="E4" s="20">
        <v>2</v>
      </c>
      <c r="F4" s="20">
        <f t="shared" ref="F4:F157" si="0">D4-E4</f>
        <v>6</v>
      </c>
      <c r="G4" s="173"/>
    </row>
    <row r="5" spans="1:9" x14ac:dyDescent="0.25">
      <c r="A5" s="17">
        <v>19</v>
      </c>
      <c r="B5" s="20" t="s">
        <v>49</v>
      </c>
      <c r="C5" s="88" t="s">
        <v>98</v>
      </c>
      <c r="D5" s="20">
        <v>4</v>
      </c>
      <c r="E5" s="20">
        <v>4</v>
      </c>
      <c r="F5" s="20">
        <f t="shared" si="0"/>
        <v>0</v>
      </c>
      <c r="G5" s="173" t="s">
        <v>159</v>
      </c>
    </row>
    <row r="6" spans="1:9" x14ac:dyDescent="0.25">
      <c r="A6" s="71"/>
      <c r="B6" s="71" t="s">
        <v>35</v>
      </c>
      <c r="C6" s="90"/>
      <c r="D6" s="71"/>
      <c r="E6" s="71"/>
      <c r="F6" s="71"/>
      <c r="G6" s="174"/>
    </row>
    <row r="7" spans="1:9" x14ac:dyDescent="0.25">
      <c r="A7" s="17">
        <v>19</v>
      </c>
      <c r="B7" s="20" t="s">
        <v>35</v>
      </c>
      <c r="C7" s="88" t="s">
        <v>45</v>
      </c>
      <c r="D7" s="20">
        <v>12</v>
      </c>
      <c r="E7" s="20">
        <v>10</v>
      </c>
      <c r="F7" s="20">
        <f t="shared" si="0"/>
        <v>2</v>
      </c>
      <c r="G7" s="173" t="s">
        <v>513</v>
      </c>
    </row>
    <row r="8" spans="1:9" x14ac:dyDescent="0.25">
      <c r="A8" s="17">
        <v>19</v>
      </c>
      <c r="B8" s="20" t="s">
        <v>35</v>
      </c>
      <c r="C8" s="88" t="s">
        <v>645</v>
      </c>
      <c r="D8" s="20">
        <v>12</v>
      </c>
      <c r="E8" s="20">
        <v>8</v>
      </c>
      <c r="F8" s="20">
        <f t="shared" si="0"/>
        <v>4</v>
      </c>
      <c r="G8" s="173" t="s">
        <v>607</v>
      </c>
    </row>
    <row r="9" spans="1:9" x14ac:dyDescent="0.25">
      <c r="A9" s="17">
        <v>19</v>
      </c>
      <c r="B9" s="20" t="s">
        <v>35</v>
      </c>
      <c r="C9" s="88" t="s">
        <v>865</v>
      </c>
      <c r="D9" s="20">
        <v>6</v>
      </c>
      <c r="E9" s="20">
        <v>4</v>
      </c>
      <c r="F9" s="20">
        <f t="shared" si="0"/>
        <v>2</v>
      </c>
      <c r="G9" s="173" t="s">
        <v>28</v>
      </c>
    </row>
    <row r="10" spans="1:9" x14ac:dyDescent="0.25">
      <c r="A10" s="17">
        <v>19</v>
      </c>
      <c r="B10" s="20" t="s">
        <v>35</v>
      </c>
      <c r="C10" s="88" t="s">
        <v>204</v>
      </c>
      <c r="D10" s="20">
        <v>22</v>
      </c>
      <c r="E10" s="20">
        <v>22</v>
      </c>
      <c r="F10" s="20">
        <f t="shared" si="0"/>
        <v>0</v>
      </c>
      <c r="G10" s="173"/>
    </row>
    <row r="11" spans="1:9" x14ac:dyDescent="0.25">
      <c r="A11" s="17">
        <v>19</v>
      </c>
      <c r="B11" s="20" t="s">
        <v>35</v>
      </c>
      <c r="C11" s="88" t="s">
        <v>926</v>
      </c>
      <c r="D11" s="20">
        <v>6</v>
      </c>
      <c r="E11" s="20">
        <v>6</v>
      </c>
      <c r="F11" s="20">
        <f t="shared" si="0"/>
        <v>0</v>
      </c>
      <c r="G11" s="173"/>
    </row>
    <row r="12" spans="1:9" x14ac:dyDescent="0.25">
      <c r="A12" s="17">
        <v>19</v>
      </c>
      <c r="B12" s="20" t="s">
        <v>35</v>
      </c>
      <c r="C12" s="88" t="s">
        <v>664</v>
      </c>
      <c r="D12" s="20">
        <v>20</v>
      </c>
      <c r="E12" s="20">
        <v>16</v>
      </c>
      <c r="F12" s="20">
        <f t="shared" si="0"/>
        <v>4</v>
      </c>
      <c r="G12" s="173"/>
    </row>
    <row r="13" spans="1:9" x14ac:dyDescent="0.25">
      <c r="A13" s="17">
        <v>19</v>
      </c>
      <c r="B13" s="20" t="s">
        <v>35</v>
      </c>
      <c r="C13" s="88" t="s">
        <v>613</v>
      </c>
      <c r="D13" s="20">
        <v>20</v>
      </c>
      <c r="E13" s="20">
        <v>18</v>
      </c>
      <c r="F13" s="20">
        <f t="shared" si="0"/>
        <v>2</v>
      </c>
      <c r="G13" s="173" t="s">
        <v>513</v>
      </c>
    </row>
    <row r="14" spans="1:9" x14ac:dyDescent="0.25">
      <c r="A14" s="17">
        <v>19</v>
      </c>
      <c r="B14" s="20" t="s">
        <v>35</v>
      </c>
      <c r="C14" s="88" t="s">
        <v>1071</v>
      </c>
      <c r="D14" s="20">
        <v>8</v>
      </c>
      <c r="E14" s="20"/>
      <c r="F14" s="20">
        <f t="shared" si="0"/>
        <v>8</v>
      </c>
      <c r="G14" s="173"/>
    </row>
    <row r="15" spans="1:9" x14ac:dyDescent="0.25">
      <c r="A15" s="71"/>
      <c r="B15" s="71" t="s">
        <v>19</v>
      </c>
      <c r="C15" s="73"/>
      <c r="D15" s="71"/>
      <c r="E15" s="71"/>
      <c r="F15" s="71"/>
      <c r="G15" s="174"/>
    </row>
    <row r="16" spans="1:9" x14ac:dyDescent="0.25">
      <c r="A16" s="17">
        <v>19</v>
      </c>
      <c r="B16" s="20" t="s">
        <v>19</v>
      </c>
      <c r="C16" s="88" t="s">
        <v>271</v>
      </c>
      <c r="D16" s="20">
        <v>48</v>
      </c>
      <c r="E16" s="20">
        <v>44</v>
      </c>
      <c r="F16" s="20">
        <f t="shared" si="0"/>
        <v>4</v>
      </c>
      <c r="G16" s="173" t="s">
        <v>499</v>
      </c>
      <c r="H16" s="1" t="s">
        <v>207</v>
      </c>
    </row>
    <row r="17" spans="1:8" x14ac:dyDescent="0.25">
      <c r="A17" s="17">
        <v>19</v>
      </c>
      <c r="B17" s="20" t="s">
        <v>19</v>
      </c>
      <c r="C17" s="88" t="s">
        <v>270</v>
      </c>
      <c r="D17" s="20">
        <v>20</v>
      </c>
      <c r="E17" s="20">
        <v>12</v>
      </c>
      <c r="F17" s="20">
        <f t="shared" si="0"/>
        <v>8</v>
      </c>
      <c r="G17" s="173" t="s">
        <v>914</v>
      </c>
    </row>
    <row r="18" spans="1:8" x14ac:dyDescent="0.25">
      <c r="A18" s="17">
        <v>19</v>
      </c>
      <c r="B18" s="20" t="s">
        <v>19</v>
      </c>
      <c r="C18" s="88" t="s">
        <v>689</v>
      </c>
      <c r="D18" s="20">
        <v>4</v>
      </c>
      <c r="E18" s="20"/>
      <c r="F18" s="20">
        <f t="shared" si="0"/>
        <v>4</v>
      </c>
      <c r="G18" s="173" t="s">
        <v>607</v>
      </c>
      <c r="H18" s="1" t="s">
        <v>725</v>
      </c>
    </row>
    <row r="19" spans="1:8" x14ac:dyDescent="0.25">
      <c r="A19" s="17">
        <v>19</v>
      </c>
      <c r="B19" s="20" t="s">
        <v>19</v>
      </c>
      <c r="C19" s="88" t="s">
        <v>287</v>
      </c>
      <c r="D19" s="20">
        <v>20</v>
      </c>
      <c r="E19" s="20">
        <v>16</v>
      </c>
      <c r="F19" s="20">
        <f t="shared" si="0"/>
        <v>4</v>
      </c>
      <c r="G19" s="173" t="s">
        <v>597</v>
      </c>
    </row>
    <row r="20" spans="1:8" x14ac:dyDescent="0.25">
      <c r="A20" s="17">
        <v>19</v>
      </c>
      <c r="B20" s="20" t="s">
        <v>19</v>
      </c>
      <c r="C20" s="88" t="s">
        <v>913</v>
      </c>
      <c r="D20" s="20">
        <v>6</v>
      </c>
      <c r="E20" s="20">
        <v>4</v>
      </c>
      <c r="F20" s="20">
        <f t="shared" si="0"/>
        <v>2</v>
      </c>
      <c r="G20" s="173" t="s">
        <v>377</v>
      </c>
    </row>
    <row r="21" spans="1:8" x14ac:dyDescent="0.25">
      <c r="A21" s="17">
        <v>19</v>
      </c>
      <c r="B21" s="20" t="s">
        <v>19</v>
      </c>
      <c r="C21" s="88" t="s">
        <v>415</v>
      </c>
      <c r="D21" s="20">
        <v>6</v>
      </c>
      <c r="E21" s="20">
        <v>2</v>
      </c>
      <c r="F21" s="20">
        <f t="shared" si="0"/>
        <v>4</v>
      </c>
      <c r="G21" s="173" t="s">
        <v>159</v>
      </c>
    </row>
    <row r="22" spans="1:8" x14ac:dyDescent="0.25">
      <c r="A22" s="17">
        <v>19</v>
      </c>
      <c r="B22" s="20" t="s">
        <v>19</v>
      </c>
      <c r="C22" s="88" t="s">
        <v>611</v>
      </c>
      <c r="D22" s="20">
        <v>4</v>
      </c>
      <c r="E22" s="20">
        <v>2</v>
      </c>
      <c r="F22" s="20">
        <f t="shared" si="0"/>
        <v>2</v>
      </c>
      <c r="G22" s="173" t="s">
        <v>28</v>
      </c>
    </row>
    <row r="23" spans="1:8" x14ac:dyDescent="0.25">
      <c r="A23" s="17">
        <v>19</v>
      </c>
      <c r="B23" s="20" t="s">
        <v>19</v>
      </c>
      <c r="C23" s="88" t="s">
        <v>459</v>
      </c>
      <c r="D23" s="20">
        <v>34</v>
      </c>
      <c r="E23" s="20">
        <v>30</v>
      </c>
      <c r="F23" s="20">
        <f t="shared" si="0"/>
        <v>4</v>
      </c>
      <c r="G23" s="173" t="s">
        <v>607</v>
      </c>
    </row>
    <row r="24" spans="1:8" x14ac:dyDescent="0.25">
      <c r="A24" s="17">
        <v>19</v>
      </c>
      <c r="B24" s="20" t="s">
        <v>19</v>
      </c>
      <c r="C24" s="88" t="s">
        <v>651</v>
      </c>
      <c r="D24" s="20">
        <v>2</v>
      </c>
      <c r="E24" s="20"/>
      <c r="F24" s="20">
        <f t="shared" si="0"/>
        <v>2</v>
      </c>
      <c r="G24" s="173"/>
    </row>
    <row r="25" spans="1:8" x14ac:dyDescent="0.25">
      <c r="A25" s="17">
        <v>19</v>
      </c>
      <c r="B25" s="20" t="s">
        <v>19</v>
      </c>
      <c r="C25" s="88" t="s">
        <v>843</v>
      </c>
      <c r="D25" s="20">
        <v>4</v>
      </c>
      <c r="E25" s="20">
        <v>4</v>
      </c>
      <c r="F25" s="20">
        <f t="shared" si="0"/>
        <v>0</v>
      </c>
      <c r="G25" s="173"/>
    </row>
    <row r="26" spans="1:8" x14ac:dyDescent="0.25">
      <c r="A26" s="17">
        <v>19</v>
      </c>
      <c r="B26" s="20" t="s">
        <v>19</v>
      </c>
      <c r="C26" s="88" t="s">
        <v>71</v>
      </c>
      <c r="D26" s="20">
        <v>4</v>
      </c>
      <c r="E26" s="20"/>
      <c r="F26" s="20">
        <f t="shared" si="0"/>
        <v>4</v>
      </c>
      <c r="G26" s="173"/>
    </row>
    <row r="27" spans="1:8" x14ac:dyDescent="0.25">
      <c r="A27" s="17">
        <v>19</v>
      </c>
      <c r="B27" s="20" t="s">
        <v>19</v>
      </c>
      <c r="C27" s="88" t="s">
        <v>691</v>
      </c>
      <c r="D27" s="20">
        <v>22</v>
      </c>
      <c r="E27" s="20">
        <v>18</v>
      </c>
      <c r="F27" s="20">
        <f t="shared" si="0"/>
        <v>4</v>
      </c>
      <c r="G27" s="173" t="s">
        <v>915</v>
      </c>
    </row>
    <row r="28" spans="1:8" x14ac:dyDescent="0.25">
      <c r="A28" s="17">
        <v>19</v>
      </c>
      <c r="B28" s="20" t="s">
        <v>19</v>
      </c>
      <c r="C28" s="88" t="s">
        <v>45</v>
      </c>
      <c r="D28" s="20">
        <v>18</v>
      </c>
      <c r="E28" s="20">
        <v>10</v>
      </c>
      <c r="F28" s="20">
        <f t="shared" si="0"/>
        <v>8</v>
      </c>
      <c r="G28" s="173"/>
    </row>
    <row r="29" spans="1:8" x14ac:dyDescent="0.25">
      <c r="A29" s="17">
        <v>19</v>
      </c>
      <c r="B29" s="20" t="s">
        <v>19</v>
      </c>
      <c r="C29" s="88" t="s">
        <v>870</v>
      </c>
      <c r="D29" s="20">
        <v>10</v>
      </c>
      <c r="E29" s="20"/>
      <c r="F29" s="20">
        <f t="shared" si="0"/>
        <v>10</v>
      </c>
      <c r="G29" s="173" t="s">
        <v>383</v>
      </c>
    </row>
    <row r="30" spans="1:8" x14ac:dyDescent="0.25">
      <c r="A30" s="17">
        <v>19</v>
      </c>
      <c r="B30" s="20" t="s">
        <v>19</v>
      </c>
      <c r="C30" s="88" t="s">
        <v>869</v>
      </c>
      <c r="D30" s="20">
        <v>16</v>
      </c>
      <c r="E30" s="20">
        <v>10</v>
      </c>
      <c r="F30" s="20">
        <f t="shared" si="0"/>
        <v>6</v>
      </c>
      <c r="G30" s="173" t="s">
        <v>513</v>
      </c>
      <c r="H30" s="1">
        <v>2021</v>
      </c>
    </row>
    <row r="31" spans="1:8" x14ac:dyDescent="0.25">
      <c r="A31" s="71"/>
      <c r="B31" s="71" t="s">
        <v>26</v>
      </c>
      <c r="C31" s="90"/>
      <c r="D31" s="71"/>
      <c r="E31" s="71"/>
      <c r="F31" s="71"/>
      <c r="G31" s="174"/>
    </row>
    <row r="32" spans="1:8" x14ac:dyDescent="0.25">
      <c r="A32" s="17">
        <v>19</v>
      </c>
      <c r="B32" s="20" t="s">
        <v>26</v>
      </c>
      <c r="C32" s="88" t="s">
        <v>270</v>
      </c>
      <c r="D32" s="20">
        <v>18</v>
      </c>
      <c r="E32" s="20">
        <v>8</v>
      </c>
      <c r="F32" s="20">
        <f t="shared" si="0"/>
        <v>10</v>
      </c>
      <c r="G32" s="173" t="s">
        <v>607</v>
      </c>
      <c r="H32" s="1" t="s">
        <v>1034</v>
      </c>
    </row>
    <row r="33" spans="1:7" x14ac:dyDescent="0.25">
      <c r="A33" s="17">
        <v>19</v>
      </c>
      <c r="B33" s="20" t="s">
        <v>26</v>
      </c>
      <c r="C33" s="88" t="s">
        <v>244</v>
      </c>
      <c r="D33" s="20">
        <v>16</v>
      </c>
      <c r="E33" s="20">
        <v>14</v>
      </c>
      <c r="F33" s="20">
        <f t="shared" si="0"/>
        <v>2</v>
      </c>
      <c r="G33" s="173">
        <v>2019</v>
      </c>
    </row>
    <row r="34" spans="1:7" x14ac:dyDescent="0.25">
      <c r="A34" s="17">
        <v>19</v>
      </c>
      <c r="B34" s="20" t="s">
        <v>26</v>
      </c>
      <c r="C34" s="88" t="s">
        <v>858</v>
      </c>
      <c r="D34" s="20">
        <v>4</v>
      </c>
      <c r="E34" s="20">
        <v>4</v>
      </c>
      <c r="F34" s="20">
        <f t="shared" si="0"/>
        <v>0</v>
      </c>
      <c r="G34" s="173"/>
    </row>
    <row r="35" spans="1:7" x14ac:dyDescent="0.25">
      <c r="A35" s="17">
        <v>19</v>
      </c>
      <c r="B35" s="20" t="s">
        <v>26</v>
      </c>
      <c r="C35" s="88" t="s">
        <v>571</v>
      </c>
      <c r="D35" s="20">
        <v>30</v>
      </c>
      <c r="E35" s="20">
        <v>22</v>
      </c>
      <c r="F35" s="20">
        <f t="shared" si="0"/>
        <v>8</v>
      </c>
      <c r="G35" s="173" t="s">
        <v>1002</v>
      </c>
    </row>
    <row r="36" spans="1:7" x14ac:dyDescent="0.25">
      <c r="A36" s="17">
        <v>19</v>
      </c>
      <c r="B36" s="20" t="s">
        <v>26</v>
      </c>
      <c r="C36" s="88" t="s">
        <v>459</v>
      </c>
      <c r="D36" s="20">
        <v>6</v>
      </c>
      <c r="E36" s="20">
        <v>6</v>
      </c>
      <c r="F36" s="20">
        <f t="shared" si="0"/>
        <v>0</v>
      </c>
      <c r="G36" s="173"/>
    </row>
    <row r="37" spans="1:7" x14ac:dyDescent="0.25">
      <c r="A37" s="17">
        <v>19</v>
      </c>
      <c r="B37" s="20" t="s">
        <v>52</v>
      </c>
      <c r="C37" s="88" t="s">
        <v>871</v>
      </c>
      <c r="D37" s="20">
        <v>2</v>
      </c>
      <c r="E37" s="20"/>
      <c r="F37" s="20">
        <f t="shared" si="0"/>
        <v>2</v>
      </c>
      <c r="G37" s="173" t="s">
        <v>607</v>
      </c>
    </row>
    <row r="38" spans="1:7" x14ac:dyDescent="0.25">
      <c r="A38" s="17">
        <v>19</v>
      </c>
      <c r="B38" s="20" t="s">
        <v>52</v>
      </c>
      <c r="C38" s="88" t="s">
        <v>359</v>
      </c>
      <c r="D38" s="20">
        <v>2</v>
      </c>
      <c r="E38" s="20"/>
      <c r="F38" s="20">
        <f t="shared" si="0"/>
        <v>2</v>
      </c>
      <c r="G38" s="173" t="s">
        <v>988</v>
      </c>
    </row>
    <row r="39" spans="1:7" x14ac:dyDescent="0.25">
      <c r="A39" s="17">
        <v>19</v>
      </c>
      <c r="B39" s="20" t="s">
        <v>52</v>
      </c>
      <c r="C39" s="88" t="s">
        <v>999</v>
      </c>
      <c r="D39" s="20">
        <v>4</v>
      </c>
      <c r="E39" s="20"/>
      <c r="F39" s="20">
        <f t="shared" si="0"/>
        <v>4</v>
      </c>
      <c r="G39" s="173" t="s">
        <v>354</v>
      </c>
    </row>
    <row r="40" spans="1:7" x14ac:dyDescent="0.25">
      <c r="A40" s="17">
        <v>19</v>
      </c>
      <c r="B40" s="20" t="s">
        <v>52</v>
      </c>
      <c r="C40" s="88" t="s">
        <v>559</v>
      </c>
      <c r="D40" s="20">
        <v>14</v>
      </c>
      <c r="E40" s="20">
        <v>14</v>
      </c>
      <c r="F40" s="20">
        <f t="shared" si="0"/>
        <v>0</v>
      </c>
      <c r="G40" s="173"/>
    </row>
    <row r="41" spans="1:7" x14ac:dyDescent="0.25">
      <c r="A41" s="17">
        <v>19</v>
      </c>
      <c r="B41" s="20" t="s">
        <v>52</v>
      </c>
      <c r="C41" s="88" t="s">
        <v>271</v>
      </c>
      <c r="D41" s="20">
        <v>14</v>
      </c>
      <c r="E41" s="20">
        <v>14</v>
      </c>
      <c r="F41" s="20">
        <f t="shared" si="0"/>
        <v>0</v>
      </c>
      <c r="G41" s="173"/>
    </row>
    <row r="42" spans="1:7" x14ac:dyDescent="0.25">
      <c r="A42" s="17">
        <v>19</v>
      </c>
      <c r="B42" s="20" t="s">
        <v>52</v>
      </c>
      <c r="C42" s="88" t="s">
        <v>171</v>
      </c>
      <c r="D42" s="20">
        <v>18</v>
      </c>
      <c r="E42" s="20">
        <v>18</v>
      </c>
      <c r="F42" s="20">
        <f t="shared" si="0"/>
        <v>0</v>
      </c>
      <c r="G42" s="173" t="s">
        <v>159</v>
      </c>
    </row>
    <row r="43" spans="1:7" x14ac:dyDescent="0.25">
      <c r="A43" s="17">
        <v>19</v>
      </c>
      <c r="B43" s="20" t="s">
        <v>52</v>
      </c>
      <c r="C43" s="88" t="s">
        <v>203</v>
      </c>
      <c r="D43" s="20">
        <v>2</v>
      </c>
      <c r="E43" s="20">
        <v>2</v>
      </c>
      <c r="F43" s="20">
        <f t="shared" si="0"/>
        <v>0</v>
      </c>
      <c r="G43" s="173"/>
    </row>
    <row r="44" spans="1:7" x14ac:dyDescent="0.25">
      <c r="A44" s="17">
        <v>19</v>
      </c>
      <c r="B44" s="20" t="s">
        <v>52</v>
      </c>
      <c r="C44" s="88" t="s">
        <v>913</v>
      </c>
      <c r="D44" s="20">
        <v>4</v>
      </c>
      <c r="E44" s="20">
        <v>2</v>
      </c>
      <c r="F44" s="20">
        <f t="shared" si="0"/>
        <v>2</v>
      </c>
      <c r="G44" s="173"/>
    </row>
    <row r="45" spans="1:7" x14ac:dyDescent="0.25">
      <c r="A45" s="17">
        <v>19</v>
      </c>
      <c r="B45" s="20" t="s">
        <v>52</v>
      </c>
      <c r="C45" s="88" t="s">
        <v>205</v>
      </c>
      <c r="D45" s="20">
        <v>2</v>
      </c>
      <c r="E45" s="20">
        <v>2</v>
      </c>
      <c r="F45" s="20">
        <f t="shared" si="0"/>
        <v>0</v>
      </c>
      <c r="G45" s="173"/>
    </row>
    <row r="46" spans="1:7" x14ac:dyDescent="0.25">
      <c r="A46" s="17">
        <v>19</v>
      </c>
      <c r="B46" s="20" t="s">
        <v>52</v>
      </c>
      <c r="C46" s="88" t="s">
        <v>614</v>
      </c>
      <c r="D46" s="20">
        <v>6</v>
      </c>
      <c r="E46" s="20">
        <v>6</v>
      </c>
      <c r="F46" s="20">
        <f t="shared" si="0"/>
        <v>0</v>
      </c>
      <c r="G46" s="173"/>
    </row>
    <row r="47" spans="1:7" x14ac:dyDescent="0.25">
      <c r="A47" s="17">
        <v>19</v>
      </c>
      <c r="B47" s="20" t="s">
        <v>52</v>
      </c>
      <c r="C47" s="88" t="s">
        <v>122</v>
      </c>
      <c r="D47" s="20">
        <v>10</v>
      </c>
      <c r="E47" s="20">
        <v>8</v>
      </c>
      <c r="F47" s="20">
        <f t="shared" si="0"/>
        <v>2</v>
      </c>
      <c r="G47" s="173"/>
    </row>
    <row r="48" spans="1:7" x14ac:dyDescent="0.25">
      <c r="A48" s="17">
        <v>19</v>
      </c>
      <c r="B48" s="20" t="s">
        <v>26</v>
      </c>
      <c r="C48" s="88" t="s">
        <v>1101</v>
      </c>
      <c r="D48" s="20">
        <v>8</v>
      </c>
      <c r="E48" s="20"/>
      <c r="F48" s="20">
        <f t="shared" si="0"/>
        <v>8</v>
      </c>
      <c r="G48" s="173"/>
    </row>
    <row r="49" spans="1:9" x14ac:dyDescent="0.25">
      <c r="A49" s="71"/>
      <c r="B49" s="71" t="s">
        <v>194</v>
      </c>
      <c r="C49" s="90"/>
      <c r="D49" s="71"/>
      <c r="E49" s="71"/>
      <c r="F49" s="71"/>
      <c r="G49" s="174"/>
    </row>
    <row r="50" spans="1:9" x14ac:dyDescent="0.25">
      <c r="A50" s="17">
        <v>19</v>
      </c>
      <c r="B50" s="20" t="s">
        <v>25</v>
      </c>
      <c r="C50" s="88" t="s">
        <v>773</v>
      </c>
      <c r="D50" s="20">
        <v>8</v>
      </c>
      <c r="E50" s="20">
        <v>8</v>
      </c>
      <c r="F50" s="20">
        <f t="shared" si="0"/>
        <v>0</v>
      </c>
      <c r="G50" s="173"/>
    </row>
    <row r="51" spans="1:9" x14ac:dyDescent="0.25">
      <c r="A51" s="17">
        <v>19</v>
      </c>
      <c r="B51" s="20" t="s">
        <v>25</v>
      </c>
      <c r="C51" s="88" t="s">
        <v>115</v>
      </c>
      <c r="D51" s="20">
        <v>4</v>
      </c>
      <c r="E51" s="20">
        <v>4</v>
      </c>
      <c r="F51" s="20">
        <f t="shared" si="0"/>
        <v>0</v>
      </c>
      <c r="G51" s="173" t="s">
        <v>159</v>
      </c>
    </row>
    <row r="52" spans="1:9" x14ac:dyDescent="0.25">
      <c r="A52" s="17">
        <v>19</v>
      </c>
      <c r="B52" s="20" t="s">
        <v>25</v>
      </c>
      <c r="C52" s="88" t="s">
        <v>327</v>
      </c>
      <c r="D52" s="20">
        <v>12</v>
      </c>
      <c r="E52" s="20">
        <v>8</v>
      </c>
      <c r="F52" s="20">
        <f t="shared" si="0"/>
        <v>4</v>
      </c>
      <c r="G52" s="173" t="s">
        <v>159</v>
      </c>
    </row>
    <row r="53" spans="1:9" x14ac:dyDescent="0.25">
      <c r="A53" s="17">
        <v>19</v>
      </c>
      <c r="B53" s="20" t="s">
        <v>25</v>
      </c>
      <c r="C53" s="88" t="s">
        <v>588</v>
      </c>
      <c r="D53" s="20">
        <v>2</v>
      </c>
      <c r="E53" s="20">
        <v>2</v>
      </c>
      <c r="F53" s="20">
        <f t="shared" si="0"/>
        <v>0</v>
      </c>
      <c r="G53" s="173" t="s">
        <v>377</v>
      </c>
    </row>
    <row r="54" spans="1:9" x14ac:dyDescent="0.25">
      <c r="A54" s="17">
        <v>19</v>
      </c>
      <c r="B54" s="20" t="s">
        <v>25</v>
      </c>
      <c r="C54" s="88" t="s">
        <v>506</v>
      </c>
      <c r="D54" s="20">
        <v>4</v>
      </c>
      <c r="E54" s="20">
        <v>4</v>
      </c>
      <c r="F54" s="20">
        <f t="shared" si="0"/>
        <v>0</v>
      </c>
      <c r="G54" s="173" t="s">
        <v>891</v>
      </c>
    </row>
    <row r="55" spans="1:9" x14ac:dyDescent="0.25">
      <c r="A55" s="17">
        <v>19</v>
      </c>
      <c r="B55" s="20" t="s">
        <v>25</v>
      </c>
      <c r="C55" s="88" t="s">
        <v>176</v>
      </c>
      <c r="D55" s="20">
        <v>6</v>
      </c>
      <c r="E55" s="20">
        <v>6</v>
      </c>
      <c r="F55" s="20">
        <f t="shared" si="0"/>
        <v>0</v>
      </c>
      <c r="G55" s="173" t="s">
        <v>172</v>
      </c>
    </row>
    <row r="56" spans="1:9" x14ac:dyDescent="0.25">
      <c r="A56" s="17">
        <v>19</v>
      </c>
      <c r="B56" s="20" t="s">
        <v>21</v>
      </c>
      <c r="C56" s="88" t="s">
        <v>271</v>
      </c>
      <c r="D56" s="20">
        <v>40</v>
      </c>
      <c r="E56" s="20">
        <v>26</v>
      </c>
      <c r="F56" s="20">
        <f t="shared" si="0"/>
        <v>14</v>
      </c>
      <c r="G56" s="173" t="s">
        <v>159</v>
      </c>
    </row>
    <row r="57" spans="1:9" x14ac:dyDescent="0.25">
      <c r="A57" s="17">
        <v>19</v>
      </c>
      <c r="B57" s="20" t="s">
        <v>21</v>
      </c>
      <c r="C57" s="88" t="s">
        <v>425</v>
      </c>
      <c r="D57" s="20">
        <v>14</v>
      </c>
      <c r="E57" s="20">
        <v>14</v>
      </c>
      <c r="F57" s="20">
        <f t="shared" si="0"/>
        <v>0</v>
      </c>
      <c r="G57" s="173"/>
    </row>
    <row r="58" spans="1:9" x14ac:dyDescent="0.25">
      <c r="A58" s="17">
        <v>19</v>
      </c>
      <c r="B58" s="20" t="s">
        <v>21</v>
      </c>
      <c r="C58" s="88" t="s">
        <v>71</v>
      </c>
      <c r="D58" s="20">
        <v>18</v>
      </c>
      <c r="E58" s="20">
        <v>8</v>
      </c>
      <c r="F58" s="20">
        <f t="shared" si="0"/>
        <v>10</v>
      </c>
      <c r="G58" s="173" t="s">
        <v>941</v>
      </c>
    </row>
    <row r="59" spans="1:9" x14ac:dyDescent="0.25">
      <c r="A59" s="17">
        <v>19</v>
      </c>
      <c r="B59" s="20" t="s">
        <v>21</v>
      </c>
      <c r="C59" s="88" t="s">
        <v>912</v>
      </c>
      <c r="D59" s="20">
        <v>10</v>
      </c>
      <c r="E59" s="20">
        <v>10</v>
      </c>
      <c r="F59" s="20">
        <f t="shared" si="0"/>
        <v>0</v>
      </c>
      <c r="G59" s="173"/>
    </row>
    <row r="60" spans="1:9" x14ac:dyDescent="0.25">
      <c r="A60" s="17">
        <v>19</v>
      </c>
      <c r="B60" s="20" t="s">
        <v>39</v>
      </c>
      <c r="C60" s="88" t="s">
        <v>106</v>
      </c>
      <c r="D60" s="20">
        <v>6</v>
      </c>
      <c r="E60" s="20">
        <v>6</v>
      </c>
      <c r="F60" s="20">
        <f t="shared" si="0"/>
        <v>0</v>
      </c>
      <c r="G60" s="173"/>
    </row>
    <row r="61" spans="1:9" x14ac:dyDescent="0.25">
      <c r="A61" s="17">
        <v>19</v>
      </c>
      <c r="B61" s="20" t="s">
        <v>39</v>
      </c>
      <c r="C61" s="88" t="s">
        <v>425</v>
      </c>
      <c r="D61" s="20">
        <v>4</v>
      </c>
      <c r="E61" s="20">
        <v>4</v>
      </c>
      <c r="F61" s="20">
        <f t="shared" si="0"/>
        <v>0</v>
      </c>
      <c r="G61" s="173" t="s">
        <v>607</v>
      </c>
    </row>
    <row r="62" spans="1:9" x14ac:dyDescent="0.25">
      <c r="A62" s="17">
        <v>19</v>
      </c>
      <c r="B62" s="20" t="s">
        <v>39</v>
      </c>
      <c r="C62" s="88" t="s">
        <v>567</v>
      </c>
      <c r="D62" s="20">
        <v>30</v>
      </c>
      <c r="E62" s="20">
        <v>24</v>
      </c>
      <c r="F62" s="20">
        <f t="shared" si="0"/>
        <v>6</v>
      </c>
      <c r="G62" s="173" t="s">
        <v>607</v>
      </c>
      <c r="H62" s="1" t="s">
        <v>942</v>
      </c>
    </row>
    <row r="63" spans="1:9" x14ac:dyDescent="0.25">
      <c r="A63" s="17">
        <v>19</v>
      </c>
      <c r="B63" s="20" t="s">
        <v>39</v>
      </c>
      <c r="C63" s="88" t="s">
        <v>911</v>
      </c>
      <c r="D63" s="20">
        <v>4</v>
      </c>
      <c r="E63" s="20"/>
      <c r="F63" s="20">
        <f t="shared" si="0"/>
        <v>4</v>
      </c>
      <c r="G63" s="173"/>
    </row>
    <row r="64" spans="1:9" x14ac:dyDescent="0.25">
      <c r="A64" s="17">
        <v>19</v>
      </c>
      <c r="B64" s="20" t="s">
        <v>39</v>
      </c>
      <c r="C64" s="88" t="s">
        <v>601</v>
      </c>
      <c r="D64" s="20">
        <v>32</v>
      </c>
      <c r="E64" s="20">
        <v>14</v>
      </c>
      <c r="F64" s="20">
        <f t="shared" si="0"/>
        <v>18</v>
      </c>
      <c r="G64" s="173" t="s">
        <v>1004</v>
      </c>
      <c r="H64" s="1" t="s">
        <v>944</v>
      </c>
      <c r="I64" s="1" t="s">
        <v>963</v>
      </c>
    </row>
    <row r="65" spans="1:8" x14ac:dyDescent="0.25">
      <c r="A65" s="17">
        <v>19</v>
      </c>
      <c r="B65" s="20" t="s">
        <v>39</v>
      </c>
      <c r="C65" s="88" t="s">
        <v>177</v>
      </c>
      <c r="D65" s="20">
        <v>14</v>
      </c>
      <c r="E65" s="20">
        <v>14</v>
      </c>
      <c r="F65" s="20">
        <f t="shared" si="0"/>
        <v>0</v>
      </c>
      <c r="G65" s="173">
        <v>2021</v>
      </c>
    </row>
    <row r="66" spans="1:8" x14ac:dyDescent="0.25">
      <c r="A66" s="17">
        <v>19</v>
      </c>
      <c r="B66" s="20" t="s">
        <v>39</v>
      </c>
      <c r="C66" s="88" t="s">
        <v>617</v>
      </c>
      <c r="D66" s="20">
        <v>6</v>
      </c>
      <c r="E66" s="20">
        <v>4</v>
      </c>
      <c r="F66" s="20">
        <f t="shared" si="0"/>
        <v>2</v>
      </c>
      <c r="G66" s="173"/>
    </row>
    <row r="67" spans="1:8" x14ac:dyDescent="0.25">
      <c r="A67" s="17">
        <v>19</v>
      </c>
      <c r="B67" s="20" t="s">
        <v>39</v>
      </c>
      <c r="C67" s="88" t="s">
        <v>669</v>
      </c>
      <c r="D67" s="20">
        <v>12</v>
      </c>
      <c r="E67" s="20">
        <v>8</v>
      </c>
      <c r="F67" s="20">
        <f t="shared" si="0"/>
        <v>4</v>
      </c>
      <c r="G67" s="173" t="s">
        <v>607</v>
      </c>
      <c r="H67" s="75">
        <v>2021</v>
      </c>
    </row>
    <row r="68" spans="1:8" x14ac:dyDescent="0.25">
      <c r="A68" s="17">
        <v>19</v>
      </c>
      <c r="B68" s="20" t="s">
        <v>39</v>
      </c>
      <c r="C68" s="88" t="s">
        <v>893</v>
      </c>
      <c r="D68" s="20">
        <v>8</v>
      </c>
      <c r="E68" s="20">
        <v>6</v>
      </c>
      <c r="F68" s="20">
        <f t="shared" si="0"/>
        <v>2</v>
      </c>
      <c r="G68" s="173"/>
    </row>
    <row r="69" spans="1:8" x14ac:dyDescent="0.25">
      <c r="A69" s="17">
        <v>19</v>
      </c>
      <c r="B69" s="20" t="s">
        <v>39</v>
      </c>
      <c r="C69" s="88" t="s">
        <v>40</v>
      </c>
      <c r="D69" s="20">
        <v>12</v>
      </c>
      <c r="E69" s="20">
        <v>6</v>
      </c>
      <c r="F69" s="20">
        <f t="shared" si="0"/>
        <v>6</v>
      </c>
      <c r="G69" s="173" t="s">
        <v>915</v>
      </c>
    </row>
    <row r="70" spans="1:8" x14ac:dyDescent="0.25">
      <c r="A70" s="17">
        <v>19</v>
      </c>
      <c r="B70" s="20" t="s">
        <v>39</v>
      </c>
      <c r="C70" s="88" t="s">
        <v>348</v>
      </c>
      <c r="D70" s="20">
        <v>24</v>
      </c>
      <c r="E70" s="20">
        <v>10</v>
      </c>
      <c r="F70" s="20">
        <f t="shared" si="0"/>
        <v>14</v>
      </c>
      <c r="G70" s="173" t="s">
        <v>934</v>
      </c>
    </row>
    <row r="71" spans="1:8" x14ac:dyDescent="0.25">
      <c r="A71" s="17">
        <v>19</v>
      </c>
      <c r="B71" s="20" t="s">
        <v>39</v>
      </c>
      <c r="C71" s="88" t="s">
        <v>1071</v>
      </c>
      <c r="D71" s="20">
        <v>16</v>
      </c>
      <c r="E71" s="20"/>
      <c r="F71" s="20">
        <f t="shared" si="0"/>
        <v>16</v>
      </c>
      <c r="G71" s="173"/>
    </row>
    <row r="72" spans="1:8" x14ac:dyDescent="0.25">
      <c r="A72" s="71"/>
      <c r="B72" s="71" t="s">
        <v>14</v>
      </c>
      <c r="C72" s="90"/>
      <c r="D72" s="71"/>
      <c r="E72" s="71"/>
      <c r="F72" s="71"/>
      <c r="G72" s="174"/>
    </row>
    <row r="73" spans="1:8" x14ac:dyDescent="0.25">
      <c r="A73" s="17">
        <v>19</v>
      </c>
      <c r="B73" s="20" t="s">
        <v>14</v>
      </c>
      <c r="C73" s="88" t="s">
        <v>577</v>
      </c>
      <c r="D73" s="20">
        <v>32</v>
      </c>
      <c r="E73" s="20">
        <v>28</v>
      </c>
      <c r="F73" s="20">
        <f t="shared" si="0"/>
        <v>4</v>
      </c>
      <c r="G73" s="173"/>
      <c r="H73" s="1" t="s">
        <v>305</v>
      </c>
    </row>
    <row r="74" spans="1:8" x14ac:dyDescent="0.25">
      <c r="A74" s="17">
        <v>19</v>
      </c>
      <c r="B74" s="20" t="s">
        <v>14</v>
      </c>
      <c r="C74" s="88" t="s">
        <v>601</v>
      </c>
      <c r="D74" s="20">
        <v>26</v>
      </c>
      <c r="E74" s="20">
        <v>24</v>
      </c>
      <c r="F74" s="20">
        <f t="shared" si="0"/>
        <v>2</v>
      </c>
      <c r="G74" s="173" t="s">
        <v>945</v>
      </c>
    </row>
    <row r="75" spans="1:8" x14ac:dyDescent="0.25">
      <c r="A75" s="17">
        <v>19</v>
      </c>
      <c r="B75" s="20" t="s">
        <v>14</v>
      </c>
      <c r="C75" s="88" t="s">
        <v>863</v>
      </c>
      <c r="D75" s="20">
        <v>4</v>
      </c>
      <c r="E75" s="20"/>
      <c r="F75" s="20">
        <f t="shared" si="0"/>
        <v>4</v>
      </c>
      <c r="G75" s="173" t="s">
        <v>607</v>
      </c>
    </row>
    <row r="76" spans="1:8" x14ac:dyDescent="0.25">
      <c r="A76" s="17">
        <v>19</v>
      </c>
      <c r="B76" s="20" t="s">
        <v>14</v>
      </c>
      <c r="C76" s="88" t="s">
        <v>606</v>
      </c>
      <c r="D76" s="20">
        <v>6</v>
      </c>
      <c r="E76" s="20">
        <v>6</v>
      </c>
      <c r="F76" s="20">
        <f t="shared" si="0"/>
        <v>0</v>
      </c>
      <c r="G76" s="173"/>
    </row>
    <row r="77" spans="1:8" x14ac:dyDescent="0.25">
      <c r="A77" s="17">
        <v>19</v>
      </c>
      <c r="B77" s="20" t="s">
        <v>14</v>
      </c>
      <c r="C77" s="88" t="s">
        <v>94</v>
      </c>
      <c r="D77" s="20">
        <v>32</v>
      </c>
      <c r="E77" s="20">
        <v>28</v>
      </c>
      <c r="F77" s="20">
        <f t="shared" si="0"/>
        <v>4</v>
      </c>
      <c r="G77" s="173"/>
    </row>
    <row r="78" spans="1:8" x14ac:dyDescent="0.25">
      <c r="A78" s="17">
        <v>19</v>
      </c>
      <c r="B78" s="20" t="s">
        <v>14</v>
      </c>
      <c r="C78" s="88" t="s">
        <v>800</v>
      </c>
      <c r="D78" s="20">
        <v>14</v>
      </c>
      <c r="E78" s="20">
        <v>4</v>
      </c>
      <c r="F78" s="20">
        <f t="shared" si="0"/>
        <v>10</v>
      </c>
      <c r="G78" s="173" t="s">
        <v>631</v>
      </c>
    </row>
    <row r="79" spans="1:8" x14ac:dyDescent="0.25">
      <c r="A79" s="17">
        <v>19</v>
      </c>
      <c r="B79" s="20" t="s">
        <v>14</v>
      </c>
      <c r="C79" s="88" t="s">
        <v>455</v>
      </c>
      <c r="D79" s="20">
        <v>4</v>
      </c>
      <c r="E79" s="20">
        <v>4</v>
      </c>
      <c r="F79" s="20">
        <f t="shared" si="0"/>
        <v>0</v>
      </c>
      <c r="G79" s="173" t="s">
        <v>159</v>
      </c>
    </row>
    <row r="80" spans="1:8" x14ac:dyDescent="0.25">
      <c r="A80" s="17">
        <v>19</v>
      </c>
      <c r="B80" s="20" t="s">
        <v>14</v>
      </c>
      <c r="C80" s="88" t="s">
        <v>223</v>
      </c>
      <c r="D80" s="20">
        <v>4</v>
      </c>
      <c r="E80" s="20">
        <v>4</v>
      </c>
      <c r="F80" s="20">
        <f t="shared" si="0"/>
        <v>0</v>
      </c>
      <c r="G80" s="173"/>
    </row>
    <row r="81" spans="1:8" x14ac:dyDescent="0.25">
      <c r="A81" s="17">
        <v>19</v>
      </c>
      <c r="B81" s="20" t="s">
        <v>14</v>
      </c>
      <c r="C81" s="88" t="s">
        <v>328</v>
      </c>
      <c r="D81" s="20">
        <v>56</v>
      </c>
      <c r="E81" s="20">
        <v>40</v>
      </c>
      <c r="F81" s="20">
        <f>D81-E81</f>
        <v>16</v>
      </c>
      <c r="G81" s="173" t="s">
        <v>178</v>
      </c>
    </row>
    <row r="82" spans="1:8" x14ac:dyDescent="0.25">
      <c r="A82" s="17">
        <v>19</v>
      </c>
      <c r="B82" s="20" t="s">
        <v>14</v>
      </c>
      <c r="C82" s="88" t="s">
        <v>224</v>
      </c>
      <c r="D82" s="20">
        <v>30</v>
      </c>
      <c r="E82" s="20">
        <v>24</v>
      </c>
      <c r="F82" s="20">
        <f t="shared" si="0"/>
        <v>6</v>
      </c>
      <c r="G82" s="173" t="s">
        <v>406</v>
      </c>
    </row>
    <row r="83" spans="1:8" x14ac:dyDescent="0.25">
      <c r="A83" s="17">
        <v>19</v>
      </c>
      <c r="B83" s="20" t="s">
        <v>14</v>
      </c>
      <c r="C83" s="88" t="s">
        <v>916</v>
      </c>
      <c r="D83" s="20">
        <v>4</v>
      </c>
      <c r="E83" s="20"/>
      <c r="F83" s="20">
        <f t="shared" si="0"/>
        <v>4</v>
      </c>
      <c r="G83" s="173"/>
    </row>
    <row r="84" spans="1:8" x14ac:dyDescent="0.25">
      <c r="A84" s="17">
        <v>19</v>
      </c>
      <c r="B84" s="20" t="s">
        <v>14</v>
      </c>
      <c r="C84" s="88" t="s">
        <v>696</v>
      </c>
      <c r="D84" s="20">
        <v>24</v>
      </c>
      <c r="E84" s="20">
        <v>24</v>
      </c>
      <c r="F84" s="20">
        <f t="shared" si="0"/>
        <v>0</v>
      </c>
      <c r="G84" s="173"/>
    </row>
    <row r="85" spans="1:8" x14ac:dyDescent="0.25">
      <c r="A85" s="17">
        <v>19</v>
      </c>
      <c r="B85" s="20" t="s">
        <v>14</v>
      </c>
      <c r="C85" s="88" t="s">
        <v>385</v>
      </c>
      <c r="D85" s="20">
        <v>32</v>
      </c>
      <c r="E85" s="20">
        <v>32</v>
      </c>
      <c r="F85" s="20">
        <f t="shared" si="0"/>
        <v>0</v>
      </c>
      <c r="G85" s="173"/>
    </row>
    <row r="86" spans="1:8" x14ac:dyDescent="0.25">
      <c r="A86" s="17">
        <v>19</v>
      </c>
      <c r="B86" s="20" t="s">
        <v>14</v>
      </c>
      <c r="C86" s="88" t="s">
        <v>419</v>
      </c>
      <c r="D86" s="20">
        <v>14</v>
      </c>
      <c r="E86" s="20">
        <v>6</v>
      </c>
      <c r="F86" s="20">
        <f t="shared" si="0"/>
        <v>8</v>
      </c>
      <c r="G86" s="173" t="s">
        <v>978</v>
      </c>
      <c r="H86" s="1" t="s">
        <v>1010</v>
      </c>
    </row>
    <row r="87" spans="1:8" x14ac:dyDescent="0.25">
      <c r="A87" s="17">
        <v>19</v>
      </c>
      <c r="B87" s="20" t="s">
        <v>14</v>
      </c>
      <c r="C87" s="88" t="s">
        <v>833</v>
      </c>
      <c r="D87" s="20">
        <v>6</v>
      </c>
      <c r="E87" s="20">
        <v>2</v>
      </c>
      <c r="F87" s="20">
        <f t="shared" si="0"/>
        <v>4</v>
      </c>
      <c r="G87" s="173"/>
    </row>
    <row r="88" spans="1:8" x14ac:dyDescent="0.25">
      <c r="A88" s="17">
        <v>19</v>
      </c>
      <c r="B88" s="20" t="s">
        <v>14</v>
      </c>
      <c r="C88" s="88" t="s">
        <v>339</v>
      </c>
      <c r="D88" s="20">
        <v>12</v>
      </c>
      <c r="E88" s="20">
        <v>8</v>
      </c>
      <c r="F88" s="20">
        <f t="shared" si="0"/>
        <v>4</v>
      </c>
      <c r="G88" s="173" t="s">
        <v>172</v>
      </c>
    </row>
    <row r="89" spans="1:8" x14ac:dyDescent="0.25">
      <c r="A89" s="17">
        <v>19</v>
      </c>
      <c r="B89" s="20" t="s">
        <v>14</v>
      </c>
      <c r="C89" s="88" t="s">
        <v>220</v>
      </c>
      <c r="D89" s="20">
        <v>18</v>
      </c>
      <c r="E89" s="20">
        <v>12</v>
      </c>
      <c r="F89" s="20">
        <f t="shared" si="0"/>
        <v>6</v>
      </c>
      <c r="G89" s="173"/>
    </row>
    <row r="90" spans="1:8" x14ac:dyDescent="0.25">
      <c r="A90" s="17">
        <v>19</v>
      </c>
      <c r="B90" s="20" t="s">
        <v>14</v>
      </c>
      <c r="C90" s="88" t="s">
        <v>482</v>
      </c>
      <c r="D90" s="20">
        <v>14</v>
      </c>
      <c r="E90" s="20">
        <v>8</v>
      </c>
      <c r="F90" s="20">
        <f t="shared" si="0"/>
        <v>6</v>
      </c>
      <c r="G90" s="173" t="s">
        <v>406</v>
      </c>
    </row>
    <row r="91" spans="1:8" x14ac:dyDescent="0.25">
      <c r="A91" s="17">
        <v>19</v>
      </c>
      <c r="B91" s="20" t="s">
        <v>14</v>
      </c>
      <c r="C91" s="88" t="s">
        <v>918</v>
      </c>
      <c r="D91" s="20">
        <v>10</v>
      </c>
      <c r="E91" s="20">
        <v>8</v>
      </c>
      <c r="F91" s="20">
        <f t="shared" si="0"/>
        <v>2</v>
      </c>
      <c r="G91" s="173"/>
    </row>
    <row r="92" spans="1:8" x14ac:dyDescent="0.25">
      <c r="A92" s="17">
        <v>19</v>
      </c>
      <c r="B92" s="20" t="s">
        <v>14</v>
      </c>
      <c r="C92" s="88" t="s">
        <v>858</v>
      </c>
      <c r="D92" s="20">
        <v>4</v>
      </c>
      <c r="E92" s="20">
        <v>4</v>
      </c>
      <c r="F92" s="20">
        <f t="shared" si="0"/>
        <v>0</v>
      </c>
      <c r="G92" s="173" t="s">
        <v>607</v>
      </c>
    </row>
    <row r="93" spans="1:8" x14ac:dyDescent="0.25">
      <c r="A93" s="17">
        <v>19</v>
      </c>
      <c r="B93" s="20" t="s">
        <v>14</v>
      </c>
      <c r="C93" s="88" t="s">
        <v>754</v>
      </c>
      <c r="D93" s="20">
        <v>4</v>
      </c>
      <c r="E93" s="20">
        <v>4</v>
      </c>
      <c r="F93" s="20">
        <f t="shared" si="0"/>
        <v>0</v>
      </c>
      <c r="G93" s="173" t="s">
        <v>354</v>
      </c>
    </row>
    <row r="94" spans="1:8" x14ac:dyDescent="0.25">
      <c r="A94" s="71"/>
      <c r="B94" s="71" t="s">
        <v>196</v>
      </c>
      <c r="C94" s="90"/>
      <c r="D94" s="71"/>
      <c r="E94" s="71"/>
      <c r="F94" s="71"/>
      <c r="G94" s="174"/>
    </row>
    <row r="95" spans="1:8" x14ac:dyDescent="0.25">
      <c r="A95" s="17">
        <v>19</v>
      </c>
      <c r="B95" s="20" t="s">
        <v>44</v>
      </c>
      <c r="C95" s="88" t="s">
        <v>72</v>
      </c>
      <c r="D95" s="20">
        <v>6</v>
      </c>
      <c r="E95" s="20">
        <v>6</v>
      </c>
      <c r="F95" s="20">
        <f t="shared" si="0"/>
        <v>0</v>
      </c>
      <c r="G95" s="173"/>
    </row>
    <row r="96" spans="1:8" x14ac:dyDescent="0.25">
      <c r="A96" s="17">
        <v>19</v>
      </c>
      <c r="B96" s="20" t="s">
        <v>44</v>
      </c>
      <c r="C96" s="88" t="s">
        <v>275</v>
      </c>
      <c r="D96" s="20">
        <v>22</v>
      </c>
      <c r="E96" s="20">
        <v>20</v>
      </c>
      <c r="F96" s="20">
        <f t="shared" si="0"/>
        <v>2</v>
      </c>
      <c r="G96" s="173" t="s">
        <v>159</v>
      </c>
    </row>
    <row r="97" spans="1:7" x14ac:dyDescent="0.25">
      <c r="A97" s="17">
        <v>19</v>
      </c>
      <c r="B97" s="20" t="s">
        <v>44</v>
      </c>
      <c r="C97" s="88" t="s">
        <v>411</v>
      </c>
      <c r="D97" s="20">
        <v>8</v>
      </c>
      <c r="E97" s="20">
        <v>8</v>
      </c>
      <c r="F97" s="20">
        <f t="shared" si="0"/>
        <v>0</v>
      </c>
      <c r="G97" s="173" t="s">
        <v>159</v>
      </c>
    </row>
    <row r="98" spans="1:7" x14ac:dyDescent="0.25">
      <c r="A98" s="17">
        <v>19</v>
      </c>
      <c r="B98" s="20" t="s">
        <v>44</v>
      </c>
      <c r="C98" s="88" t="s">
        <v>472</v>
      </c>
      <c r="D98" s="20">
        <v>2</v>
      </c>
      <c r="E98" s="20">
        <v>2</v>
      </c>
      <c r="F98" s="20">
        <f t="shared" si="0"/>
        <v>0</v>
      </c>
      <c r="G98" s="173" t="s">
        <v>159</v>
      </c>
    </row>
    <row r="99" spans="1:7" x14ac:dyDescent="0.25">
      <c r="A99" s="17">
        <v>19</v>
      </c>
      <c r="B99" s="20" t="s">
        <v>44</v>
      </c>
      <c r="C99" s="88" t="s">
        <v>45</v>
      </c>
      <c r="D99" s="20">
        <v>2</v>
      </c>
      <c r="E99" s="20">
        <v>2</v>
      </c>
      <c r="F99" s="20">
        <f t="shared" si="0"/>
        <v>0</v>
      </c>
      <c r="G99" s="173" t="s">
        <v>159</v>
      </c>
    </row>
    <row r="100" spans="1:7" x14ac:dyDescent="0.25">
      <c r="A100" s="17">
        <v>19</v>
      </c>
      <c r="B100" s="20" t="s">
        <v>44</v>
      </c>
      <c r="C100" s="88" t="s">
        <v>191</v>
      </c>
      <c r="D100" s="20">
        <v>2</v>
      </c>
      <c r="E100" s="20">
        <v>2</v>
      </c>
      <c r="F100" s="20">
        <f t="shared" si="0"/>
        <v>0</v>
      </c>
      <c r="G100" s="173" t="s">
        <v>159</v>
      </c>
    </row>
    <row r="101" spans="1:7" x14ac:dyDescent="0.25">
      <c r="A101" s="17">
        <v>19</v>
      </c>
      <c r="B101" s="20" t="s">
        <v>44</v>
      </c>
      <c r="C101" s="88" t="s">
        <v>83</v>
      </c>
      <c r="D101" s="20">
        <v>14</v>
      </c>
      <c r="E101" s="20">
        <v>10</v>
      </c>
      <c r="F101" s="20">
        <f t="shared" si="0"/>
        <v>4</v>
      </c>
      <c r="G101" s="173" t="s">
        <v>159</v>
      </c>
    </row>
    <row r="102" spans="1:7" x14ac:dyDescent="0.25">
      <c r="A102" s="17">
        <v>19</v>
      </c>
      <c r="B102" s="20" t="s">
        <v>44</v>
      </c>
      <c r="C102" s="88" t="s">
        <v>653</v>
      </c>
      <c r="D102" s="20">
        <v>2</v>
      </c>
      <c r="E102" s="20">
        <v>2</v>
      </c>
      <c r="F102" s="20">
        <f t="shared" si="0"/>
        <v>0</v>
      </c>
      <c r="G102" s="173"/>
    </row>
    <row r="103" spans="1:7" x14ac:dyDescent="0.25">
      <c r="A103" s="17">
        <v>19</v>
      </c>
      <c r="B103" s="20" t="s">
        <v>15</v>
      </c>
      <c r="C103" s="88" t="s">
        <v>674</v>
      </c>
      <c r="D103" s="20">
        <v>2</v>
      </c>
      <c r="E103" s="20">
        <v>2</v>
      </c>
      <c r="F103" s="20">
        <f t="shared" si="0"/>
        <v>0</v>
      </c>
      <c r="G103" s="173"/>
    </row>
    <row r="104" spans="1:7" x14ac:dyDescent="0.25">
      <c r="A104" s="17">
        <v>19</v>
      </c>
      <c r="B104" s="20" t="s">
        <v>44</v>
      </c>
      <c r="C104" s="88" t="s">
        <v>395</v>
      </c>
      <c r="D104" s="20">
        <v>2</v>
      </c>
      <c r="E104" s="20">
        <v>2</v>
      </c>
      <c r="F104" s="20">
        <f t="shared" si="0"/>
        <v>0</v>
      </c>
      <c r="G104" s="173" t="s">
        <v>983</v>
      </c>
    </row>
    <row r="105" spans="1:7" x14ac:dyDescent="0.25">
      <c r="A105" s="17">
        <v>19</v>
      </c>
      <c r="B105" s="20" t="s">
        <v>44</v>
      </c>
      <c r="C105" s="88" t="s">
        <v>1071</v>
      </c>
      <c r="D105" s="20">
        <v>4</v>
      </c>
      <c r="E105" s="20"/>
      <c r="F105" s="20">
        <f t="shared" si="0"/>
        <v>4</v>
      </c>
      <c r="G105" s="173" t="s">
        <v>354</v>
      </c>
    </row>
    <row r="106" spans="1:7" x14ac:dyDescent="0.25">
      <c r="A106" s="71"/>
      <c r="B106" s="71" t="s">
        <v>33</v>
      </c>
      <c r="C106" s="90"/>
      <c r="D106" s="71"/>
      <c r="E106" s="71"/>
      <c r="F106" s="71"/>
      <c r="G106" s="174"/>
    </row>
    <row r="107" spans="1:7" x14ac:dyDescent="0.25">
      <c r="A107" s="17">
        <v>19</v>
      </c>
      <c r="B107" s="20" t="s">
        <v>33</v>
      </c>
      <c r="C107" s="88" t="s">
        <v>443</v>
      </c>
      <c r="D107" s="20">
        <v>12</v>
      </c>
      <c r="E107" s="20">
        <v>12</v>
      </c>
      <c r="F107" s="20">
        <f t="shared" si="0"/>
        <v>0</v>
      </c>
      <c r="G107" s="173"/>
    </row>
    <row r="108" spans="1:7" x14ac:dyDescent="0.25">
      <c r="A108" s="17">
        <v>19</v>
      </c>
      <c r="B108" s="20" t="s">
        <v>33</v>
      </c>
      <c r="C108" s="88" t="s">
        <v>231</v>
      </c>
      <c r="D108" s="20">
        <v>18</v>
      </c>
      <c r="E108" s="20">
        <v>18</v>
      </c>
      <c r="F108" s="20">
        <f t="shared" si="0"/>
        <v>0</v>
      </c>
      <c r="G108" s="173" t="s">
        <v>159</v>
      </c>
    </row>
    <row r="109" spans="1:7" x14ac:dyDescent="0.25">
      <c r="A109" s="17">
        <v>19</v>
      </c>
      <c r="B109" s="20" t="s">
        <v>33</v>
      </c>
      <c r="C109" s="88" t="s">
        <v>379</v>
      </c>
      <c r="D109" s="20">
        <v>14</v>
      </c>
      <c r="E109" s="20">
        <v>14</v>
      </c>
      <c r="F109" s="20">
        <f t="shared" si="0"/>
        <v>0</v>
      </c>
      <c r="G109" s="173" t="s">
        <v>377</v>
      </c>
    </row>
    <row r="110" spans="1:7" x14ac:dyDescent="0.25">
      <c r="A110" s="17">
        <v>19</v>
      </c>
      <c r="B110" s="20" t="s">
        <v>33</v>
      </c>
      <c r="C110" s="88" t="s">
        <v>274</v>
      </c>
      <c r="D110" s="20">
        <v>10</v>
      </c>
      <c r="E110" s="20">
        <v>10</v>
      </c>
      <c r="F110" s="20">
        <f t="shared" si="0"/>
        <v>0</v>
      </c>
      <c r="G110" s="173" t="s">
        <v>159</v>
      </c>
    </row>
    <row r="111" spans="1:7" x14ac:dyDescent="0.25">
      <c r="A111" s="17">
        <v>19</v>
      </c>
      <c r="B111" s="20" t="s">
        <v>33</v>
      </c>
      <c r="C111" s="88" t="s">
        <v>56</v>
      </c>
      <c r="D111" s="20">
        <v>60</v>
      </c>
      <c r="E111" s="20">
        <v>60</v>
      </c>
      <c r="F111" s="20">
        <f t="shared" si="0"/>
        <v>0</v>
      </c>
      <c r="G111" s="173" t="s">
        <v>28</v>
      </c>
    </row>
    <row r="112" spans="1:7" x14ac:dyDescent="0.25">
      <c r="A112" s="17">
        <v>19</v>
      </c>
      <c r="B112" s="20" t="s">
        <v>33</v>
      </c>
      <c r="C112" s="88" t="s">
        <v>447</v>
      </c>
      <c r="D112" s="20">
        <v>8</v>
      </c>
      <c r="E112" s="20">
        <v>8</v>
      </c>
      <c r="F112" s="20">
        <f t="shared" si="0"/>
        <v>0</v>
      </c>
      <c r="G112" s="173" t="s">
        <v>436</v>
      </c>
    </row>
    <row r="113" spans="1:8" x14ac:dyDescent="0.25">
      <c r="A113" s="17">
        <v>19</v>
      </c>
      <c r="B113" s="20" t="s">
        <v>33</v>
      </c>
      <c r="C113" s="37" t="s">
        <v>476</v>
      </c>
      <c r="D113" s="20">
        <v>62</v>
      </c>
      <c r="E113" s="20">
        <v>60</v>
      </c>
      <c r="F113" s="20">
        <f t="shared" si="0"/>
        <v>2</v>
      </c>
      <c r="G113" s="173" t="s">
        <v>694</v>
      </c>
    </row>
    <row r="114" spans="1:8" x14ac:dyDescent="0.25">
      <c r="A114" s="17">
        <v>19</v>
      </c>
      <c r="B114" s="20" t="s">
        <v>33</v>
      </c>
      <c r="C114" s="37" t="s">
        <v>327</v>
      </c>
      <c r="D114" s="20">
        <v>54</v>
      </c>
      <c r="E114" s="20">
        <v>50</v>
      </c>
      <c r="F114" s="20">
        <f t="shared" si="0"/>
        <v>4</v>
      </c>
      <c r="G114" s="173" t="s">
        <v>159</v>
      </c>
      <c r="H114" s="1" t="s">
        <v>1069</v>
      </c>
    </row>
    <row r="115" spans="1:8" x14ac:dyDescent="0.25">
      <c r="A115" s="17">
        <v>19</v>
      </c>
      <c r="B115" s="20" t="s">
        <v>33</v>
      </c>
      <c r="C115" s="37" t="s">
        <v>665</v>
      </c>
      <c r="D115" s="20">
        <v>4</v>
      </c>
      <c r="E115" s="20">
        <v>4</v>
      </c>
      <c r="F115" s="20">
        <f t="shared" si="0"/>
        <v>0</v>
      </c>
      <c r="G115" s="173" t="s">
        <v>896</v>
      </c>
    </row>
    <row r="116" spans="1:8" x14ac:dyDescent="0.25">
      <c r="A116" s="17">
        <v>19</v>
      </c>
      <c r="B116" s="20" t="s">
        <v>33</v>
      </c>
      <c r="C116" s="88" t="s">
        <v>347</v>
      </c>
      <c r="D116" s="20">
        <v>8</v>
      </c>
      <c r="E116" s="20">
        <v>8</v>
      </c>
      <c r="F116" s="20">
        <f t="shared" si="0"/>
        <v>0</v>
      </c>
      <c r="G116" s="173"/>
    </row>
    <row r="117" spans="1:8" x14ac:dyDescent="0.25">
      <c r="A117" s="17">
        <v>19</v>
      </c>
      <c r="B117" s="20" t="s">
        <v>33</v>
      </c>
      <c r="C117" s="88" t="s">
        <v>816</v>
      </c>
      <c r="D117" s="20">
        <v>4</v>
      </c>
      <c r="E117" s="20">
        <v>4</v>
      </c>
      <c r="F117" s="20">
        <f t="shared" si="0"/>
        <v>0</v>
      </c>
      <c r="G117" s="173" t="s">
        <v>634</v>
      </c>
    </row>
    <row r="118" spans="1:8" x14ac:dyDescent="0.25">
      <c r="A118" s="17">
        <v>19</v>
      </c>
      <c r="B118" s="20" t="s">
        <v>33</v>
      </c>
      <c r="C118" s="88" t="s">
        <v>1075</v>
      </c>
      <c r="D118" s="20">
        <v>18</v>
      </c>
      <c r="E118" s="20">
        <v>18</v>
      </c>
      <c r="F118" s="20">
        <f t="shared" si="0"/>
        <v>0</v>
      </c>
      <c r="G118" s="173" t="s">
        <v>159</v>
      </c>
    </row>
    <row r="119" spans="1:8" x14ac:dyDescent="0.25">
      <c r="A119" s="17">
        <v>19</v>
      </c>
      <c r="B119" s="20" t="s">
        <v>33</v>
      </c>
      <c r="C119" s="88" t="s">
        <v>22</v>
      </c>
      <c r="D119" s="20">
        <v>12</v>
      </c>
      <c r="E119" s="20">
        <v>12</v>
      </c>
      <c r="F119" s="20">
        <f t="shared" si="0"/>
        <v>0</v>
      </c>
      <c r="G119" s="173"/>
    </row>
    <row r="120" spans="1:8" x14ac:dyDescent="0.25">
      <c r="A120" s="17">
        <v>19</v>
      </c>
      <c r="B120" s="20" t="s">
        <v>33</v>
      </c>
      <c r="C120" s="88" t="s">
        <v>640</v>
      </c>
      <c r="D120" s="20">
        <v>10</v>
      </c>
      <c r="E120" s="20">
        <v>10</v>
      </c>
      <c r="F120" s="20">
        <f t="shared" si="0"/>
        <v>0</v>
      </c>
      <c r="G120" s="173"/>
    </row>
    <row r="121" spans="1:8" x14ac:dyDescent="0.25">
      <c r="A121" s="17">
        <v>19</v>
      </c>
      <c r="B121" s="20" t="s">
        <v>33</v>
      </c>
      <c r="C121" s="88" t="s">
        <v>876</v>
      </c>
      <c r="D121" s="20">
        <v>6</v>
      </c>
      <c r="E121" s="20">
        <v>6</v>
      </c>
      <c r="F121" s="20">
        <f t="shared" si="0"/>
        <v>0</v>
      </c>
      <c r="G121" s="173" t="s">
        <v>354</v>
      </c>
    </row>
    <row r="122" spans="1:8" x14ac:dyDescent="0.25">
      <c r="A122" s="17">
        <v>19</v>
      </c>
      <c r="B122" s="20" t="s">
        <v>33</v>
      </c>
      <c r="C122" s="88" t="s">
        <v>1049</v>
      </c>
      <c r="D122" s="20">
        <v>28</v>
      </c>
      <c r="E122" s="20">
        <v>16</v>
      </c>
      <c r="F122" s="20">
        <f t="shared" si="0"/>
        <v>12</v>
      </c>
      <c r="G122" s="173" t="s">
        <v>354</v>
      </c>
    </row>
    <row r="123" spans="1:8" x14ac:dyDescent="0.25">
      <c r="A123" s="71"/>
      <c r="B123" s="71" t="s">
        <v>15</v>
      </c>
      <c r="C123" s="90"/>
      <c r="D123" s="71"/>
      <c r="E123" s="71"/>
      <c r="F123" s="71"/>
      <c r="G123" s="174"/>
    </row>
    <row r="124" spans="1:8" x14ac:dyDescent="0.25">
      <c r="A124" s="17">
        <v>19</v>
      </c>
      <c r="B124" s="20" t="s">
        <v>15</v>
      </c>
      <c r="C124" s="88" t="s">
        <v>469</v>
      </c>
      <c r="D124" s="20">
        <v>4</v>
      </c>
      <c r="E124" s="20">
        <v>4</v>
      </c>
      <c r="F124" s="20">
        <f t="shared" si="0"/>
        <v>0</v>
      </c>
      <c r="G124" s="173"/>
    </row>
    <row r="125" spans="1:8" x14ac:dyDescent="0.25">
      <c r="A125" s="17">
        <v>19</v>
      </c>
      <c r="B125" s="20" t="s">
        <v>15</v>
      </c>
      <c r="C125" s="88" t="s">
        <v>437</v>
      </c>
      <c r="D125" s="20">
        <v>22</v>
      </c>
      <c r="E125" s="20">
        <v>18</v>
      </c>
      <c r="F125" s="20">
        <f t="shared" si="0"/>
        <v>4</v>
      </c>
      <c r="G125" s="173" t="s">
        <v>159</v>
      </c>
    </row>
    <row r="126" spans="1:8" x14ac:dyDescent="0.25">
      <c r="A126" s="17">
        <v>19</v>
      </c>
      <c r="B126" s="20" t="s">
        <v>15</v>
      </c>
      <c r="C126" s="88" t="s">
        <v>327</v>
      </c>
      <c r="D126" s="20">
        <v>62</v>
      </c>
      <c r="E126" s="20">
        <v>50</v>
      </c>
      <c r="F126" s="20">
        <f t="shared" si="0"/>
        <v>12</v>
      </c>
      <c r="G126" s="173" t="s">
        <v>159</v>
      </c>
      <c r="H126" s="1" t="s">
        <v>1020</v>
      </c>
    </row>
    <row r="127" spans="1:8" x14ac:dyDescent="0.25">
      <c r="A127" s="17">
        <v>19</v>
      </c>
      <c r="B127" s="20" t="s">
        <v>15</v>
      </c>
      <c r="C127" s="88" t="s">
        <v>45</v>
      </c>
      <c r="D127" s="20">
        <v>14</v>
      </c>
      <c r="E127" s="20">
        <v>14</v>
      </c>
      <c r="F127" s="20">
        <f t="shared" si="0"/>
        <v>0</v>
      </c>
      <c r="G127" s="173" t="s">
        <v>188</v>
      </c>
    </row>
    <row r="128" spans="1:8" x14ac:dyDescent="0.25">
      <c r="A128" s="17">
        <v>19</v>
      </c>
      <c r="B128" s="20" t="s">
        <v>15</v>
      </c>
      <c r="C128" s="88" t="s">
        <v>332</v>
      </c>
      <c r="D128" s="20">
        <v>14</v>
      </c>
      <c r="E128" s="20">
        <v>10</v>
      </c>
      <c r="F128" s="20">
        <f t="shared" si="0"/>
        <v>4</v>
      </c>
      <c r="G128" s="173" t="s">
        <v>159</v>
      </c>
    </row>
    <row r="129" spans="1:8" x14ac:dyDescent="0.25">
      <c r="A129" s="17">
        <v>19</v>
      </c>
      <c r="B129" s="20" t="s">
        <v>15</v>
      </c>
      <c r="C129" s="88" t="s">
        <v>116</v>
      </c>
      <c r="D129" s="20">
        <v>16</v>
      </c>
      <c r="E129" s="20">
        <v>16</v>
      </c>
      <c r="F129" s="20">
        <f t="shared" si="0"/>
        <v>0</v>
      </c>
      <c r="G129" s="173" t="s">
        <v>542</v>
      </c>
    </row>
    <row r="130" spans="1:8" x14ac:dyDescent="0.25">
      <c r="A130" s="17">
        <v>19</v>
      </c>
      <c r="B130" s="20" t="s">
        <v>15</v>
      </c>
      <c r="C130" s="88" t="s">
        <v>239</v>
      </c>
      <c r="D130" s="20">
        <v>6</v>
      </c>
      <c r="E130" s="20">
        <v>6</v>
      </c>
      <c r="F130" s="20">
        <f t="shared" si="0"/>
        <v>0</v>
      </c>
      <c r="G130" s="173" t="s">
        <v>159</v>
      </c>
    </row>
    <row r="131" spans="1:8" x14ac:dyDescent="0.25">
      <c r="A131" s="17">
        <v>19</v>
      </c>
      <c r="B131" s="20" t="s">
        <v>15</v>
      </c>
      <c r="C131" s="88" t="s">
        <v>567</v>
      </c>
      <c r="D131" s="20">
        <v>10</v>
      </c>
      <c r="E131" s="20">
        <v>6</v>
      </c>
      <c r="F131" s="20">
        <f t="shared" si="0"/>
        <v>4</v>
      </c>
      <c r="G131" s="173"/>
    </row>
    <row r="132" spans="1:8" x14ac:dyDescent="0.25">
      <c r="A132" s="17">
        <v>19</v>
      </c>
      <c r="B132" s="20" t="s">
        <v>15</v>
      </c>
      <c r="C132" s="88" t="s">
        <v>990</v>
      </c>
      <c r="D132" s="20">
        <v>14</v>
      </c>
      <c r="E132" s="20">
        <v>14</v>
      </c>
      <c r="F132" s="20">
        <f t="shared" si="0"/>
        <v>0</v>
      </c>
      <c r="G132" s="173" t="s">
        <v>542</v>
      </c>
    </row>
    <row r="133" spans="1:8" x14ac:dyDescent="0.25">
      <c r="A133" s="17">
        <v>19</v>
      </c>
      <c r="B133" s="20" t="s">
        <v>15</v>
      </c>
      <c r="C133" s="88" t="s">
        <v>301</v>
      </c>
      <c r="D133" s="20">
        <v>20</v>
      </c>
      <c r="E133" s="20">
        <v>20</v>
      </c>
      <c r="F133" s="20">
        <f t="shared" si="0"/>
        <v>0</v>
      </c>
      <c r="G133" s="173" t="s">
        <v>159</v>
      </c>
    </row>
    <row r="134" spans="1:8" x14ac:dyDescent="0.25">
      <c r="A134" s="17">
        <v>19</v>
      </c>
      <c r="B134" s="20" t="s">
        <v>15</v>
      </c>
      <c r="C134" s="88" t="s">
        <v>494</v>
      </c>
      <c r="D134" s="20">
        <v>12</v>
      </c>
      <c r="E134" s="20">
        <v>12</v>
      </c>
      <c r="F134" s="20">
        <f t="shared" si="0"/>
        <v>0</v>
      </c>
      <c r="G134" s="173" t="s">
        <v>159</v>
      </c>
    </row>
    <row r="135" spans="1:8" x14ac:dyDescent="0.25">
      <c r="A135" s="17">
        <v>19</v>
      </c>
      <c r="B135" s="20" t="s">
        <v>15</v>
      </c>
      <c r="C135" s="88" t="s">
        <v>41</v>
      </c>
      <c r="D135" s="20">
        <v>44</v>
      </c>
      <c r="E135" s="20">
        <v>42</v>
      </c>
      <c r="F135" s="20">
        <f t="shared" si="0"/>
        <v>2</v>
      </c>
      <c r="G135" s="173"/>
    </row>
    <row r="136" spans="1:8" x14ac:dyDescent="0.25">
      <c r="A136" s="17">
        <v>19</v>
      </c>
      <c r="B136" s="20" t="s">
        <v>15</v>
      </c>
      <c r="C136" s="88" t="s">
        <v>919</v>
      </c>
      <c r="D136" s="20">
        <v>6</v>
      </c>
      <c r="E136" s="20">
        <v>4</v>
      </c>
      <c r="F136" s="20">
        <f t="shared" si="0"/>
        <v>2</v>
      </c>
      <c r="G136" s="173"/>
    </row>
    <row r="137" spans="1:8" x14ac:dyDescent="0.25">
      <c r="A137" s="17">
        <v>19</v>
      </c>
      <c r="B137" s="20" t="s">
        <v>15</v>
      </c>
      <c r="C137" s="88" t="s">
        <v>152</v>
      </c>
      <c r="D137" s="20">
        <v>6</v>
      </c>
      <c r="E137" s="20">
        <v>6</v>
      </c>
      <c r="F137" s="20">
        <f t="shared" si="0"/>
        <v>0</v>
      </c>
      <c r="G137" s="173"/>
    </row>
    <row r="138" spans="1:8" x14ac:dyDescent="0.25">
      <c r="A138" s="17">
        <v>19</v>
      </c>
      <c r="B138" s="20" t="s">
        <v>15</v>
      </c>
      <c r="C138" s="88" t="s">
        <v>177</v>
      </c>
      <c r="D138" s="20">
        <v>60</v>
      </c>
      <c r="E138" s="20">
        <v>48</v>
      </c>
      <c r="F138" s="20">
        <f t="shared" si="0"/>
        <v>12</v>
      </c>
      <c r="G138" s="173" t="s">
        <v>767</v>
      </c>
    </row>
    <row r="139" spans="1:8" x14ac:dyDescent="0.25">
      <c r="A139" s="17">
        <v>19</v>
      </c>
      <c r="B139" s="20" t="s">
        <v>15</v>
      </c>
      <c r="C139" s="88" t="s">
        <v>960</v>
      </c>
      <c r="D139" s="20">
        <v>2</v>
      </c>
      <c r="E139" s="20">
        <v>2</v>
      </c>
      <c r="F139" s="20">
        <f t="shared" si="0"/>
        <v>0</v>
      </c>
      <c r="G139" s="173"/>
    </row>
    <row r="140" spans="1:8" x14ac:dyDescent="0.25">
      <c r="A140" s="17">
        <v>19</v>
      </c>
      <c r="B140" s="20" t="s">
        <v>15</v>
      </c>
      <c r="C140" s="88" t="s">
        <v>1049</v>
      </c>
      <c r="D140" s="20">
        <v>4</v>
      </c>
      <c r="E140" s="20">
        <v>4</v>
      </c>
      <c r="F140" s="20">
        <f t="shared" si="0"/>
        <v>0</v>
      </c>
      <c r="G140" s="173" t="s">
        <v>354</v>
      </c>
      <c r="H140" s="75">
        <v>2025</v>
      </c>
    </row>
    <row r="141" spans="1:8" x14ac:dyDescent="0.25">
      <c r="A141" s="17">
        <v>19</v>
      </c>
      <c r="B141" s="20" t="s">
        <v>37</v>
      </c>
      <c r="C141" s="88" t="s">
        <v>897</v>
      </c>
      <c r="D141" s="20">
        <v>4</v>
      </c>
      <c r="E141" s="20"/>
      <c r="F141" s="20">
        <f t="shared" si="0"/>
        <v>4</v>
      </c>
      <c r="G141" s="173"/>
    </row>
    <row r="142" spans="1:8" x14ac:dyDescent="0.25">
      <c r="A142" s="17">
        <v>19</v>
      </c>
      <c r="B142" s="20" t="s">
        <v>37</v>
      </c>
      <c r="C142" s="88" t="s">
        <v>592</v>
      </c>
      <c r="D142" s="20">
        <v>10</v>
      </c>
      <c r="E142" s="20">
        <v>10</v>
      </c>
      <c r="F142" s="20">
        <f t="shared" si="0"/>
        <v>0</v>
      </c>
      <c r="G142" s="173" t="s">
        <v>983</v>
      </c>
    </row>
    <row r="143" spans="1:8" x14ac:dyDescent="0.25">
      <c r="A143" s="17">
        <v>19</v>
      </c>
      <c r="B143" s="20" t="s">
        <v>37</v>
      </c>
      <c r="C143" s="88" t="s">
        <v>363</v>
      </c>
      <c r="D143" s="20">
        <v>32</v>
      </c>
      <c r="E143" s="20">
        <v>18</v>
      </c>
      <c r="F143" s="20">
        <f t="shared" si="0"/>
        <v>14</v>
      </c>
      <c r="G143" s="173" t="s">
        <v>857</v>
      </c>
    </row>
    <row r="144" spans="1:8" x14ac:dyDescent="0.25">
      <c r="A144" s="17">
        <v>19</v>
      </c>
      <c r="B144" s="20" t="s">
        <v>37</v>
      </c>
      <c r="C144" s="88" t="s">
        <v>22</v>
      </c>
      <c r="D144" s="20">
        <v>2</v>
      </c>
      <c r="E144" s="20">
        <v>2</v>
      </c>
      <c r="F144" s="20">
        <f t="shared" si="0"/>
        <v>0</v>
      </c>
      <c r="G144" s="173" t="s">
        <v>997</v>
      </c>
    </row>
    <row r="145" spans="1:8" x14ac:dyDescent="0.25">
      <c r="A145" s="17">
        <v>19</v>
      </c>
      <c r="B145" s="20" t="s">
        <v>37</v>
      </c>
      <c r="C145" s="88" t="s">
        <v>692</v>
      </c>
      <c r="D145" s="20">
        <v>12</v>
      </c>
      <c r="E145" s="20">
        <v>8</v>
      </c>
      <c r="F145" s="20">
        <f t="shared" si="0"/>
        <v>4</v>
      </c>
      <c r="G145" s="173" t="s">
        <v>1035</v>
      </c>
      <c r="H145" s="1" t="s">
        <v>1036</v>
      </c>
    </row>
    <row r="146" spans="1:8" x14ac:dyDescent="0.25">
      <c r="A146" s="17">
        <v>19</v>
      </c>
      <c r="B146" s="20" t="s">
        <v>37</v>
      </c>
      <c r="C146" s="88" t="s">
        <v>752</v>
      </c>
      <c r="D146" s="20">
        <v>16</v>
      </c>
      <c r="E146" s="20">
        <v>8</v>
      </c>
      <c r="F146" s="20">
        <f t="shared" si="0"/>
        <v>8</v>
      </c>
      <c r="G146" s="173" t="s">
        <v>598</v>
      </c>
    </row>
    <row r="147" spans="1:8" x14ac:dyDescent="0.25">
      <c r="A147" s="17">
        <v>19</v>
      </c>
      <c r="B147" s="20" t="s">
        <v>37</v>
      </c>
      <c r="C147" s="88" t="s">
        <v>1071</v>
      </c>
      <c r="D147" s="20">
        <v>8</v>
      </c>
      <c r="E147" s="20"/>
      <c r="F147" s="20">
        <f t="shared" si="0"/>
        <v>8</v>
      </c>
      <c r="G147" s="173"/>
    </row>
    <row r="148" spans="1:8" x14ac:dyDescent="0.25">
      <c r="A148" s="71"/>
      <c r="B148" s="71" t="s">
        <v>57</v>
      </c>
      <c r="C148" s="90"/>
      <c r="D148" s="71"/>
      <c r="E148" s="71"/>
      <c r="F148" s="71"/>
      <c r="G148" s="174"/>
    </row>
    <row r="149" spans="1:8" x14ac:dyDescent="0.25">
      <c r="A149" s="17">
        <v>19</v>
      </c>
      <c r="B149" s="20" t="s">
        <v>46</v>
      </c>
      <c r="C149" s="88" t="s">
        <v>753</v>
      </c>
      <c r="D149" s="20">
        <v>4</v>
      </c>
      <c r="E149" s="20">
        <v>4</v>
      </c>
      <c r="F149" s="20">
        <f t="shared" si="0"/>
        <v>0</v>
      </c>
      <c r="G149" s="173" t="s">
        <v>354</v>
      </c>
    </row>
    <row r="150" spans="1:8" x14ac:dyDescent="0.25">
      <c r="A150" s="17">
        <v>19</v>
      </c>
      <c r="B150" s="20" t="s">
        <v>46</v>
      </c>
      <c r="C150" s="88" t="s">
        <v>1071</v>
      </c>
      <c r="D150" s="20">
        <v>4</v>
      </c>
      <c r="E150" s="20">
        <v>4</v>
      </c>
      <c r="F150" s="20">
        <f t="shared" si="0"/>
        <v>0</v>
      </c>
      <c r="G150" s="173" t="s">
        <v>354</v>
      </c>
    </row>
    <row r="151" spans="1:8" x14ac:dyDescent="0.25">
      <c r="A151" s="17">
        <v>19</v>
      </c>
      <c r="B151" s="20" t="s">
        <v>46</v>
      </c>
      <c r="C151" s="88" t="s">
        <v>559</v>
      </c>
      <c r="D151" s="20">
        <v>12</v>
      </c>
      <c r="E151" s="20">
        <v>12</v>
      </c>
      <c r="F151" s="20">
        <f t="shared" si="0"/>
        <v>0</v>
      </c>
      <c r="G151" s="173"/>
    </row>
    <row r="152" spans="1:8" x14ac:dyDescent="0.25">
      <c r="A152" s="17">
        <v>19</v>
      </c>
      <c r="B152" s="20" t="s">
        <v>46</v>
      </c>
      <c r="C152" s="88" t="s">
        <v>872</v>
      </c>
      <c r="D152" s="20">
        <v>6</v>
      </c>
      <c r="E152" s="20">
        <v>6</v>
      </c>
      <c r="F152" s="20">
        <f t="shared" si="0"/>
        <v>0</v>
      </c>
      <c r="G152" s="173"/>
    </row>
    <row r="153" spans="1:8" x14ac:dyDescent="0.25">
      <c r="A153" s="17">
        <v>19</v>
      </c>
      <c r="B153" s="20" t="s">
        <v>46</v>
      </c>
      <c r="C153" s="88" t="s">
        <v>873</v>
      </c>
      <c r="D153" s="20">
        <v>2</v>
      </c>
      <c r="E153" s="20"/>
      <c r="F153" s="20">
        <f t="shared" si="0"/>
        <v>2</v>
      </c>
      <c r="G153" s="173" t="s">
        <v>28</v>
      </c>
    </row>
    <row r="154" spans="1:8" x14ac:dyDescent="0.25">
      <c r="A154" s="17">
        <v>19</v>
      </c>
      <c r="B154" s="20" t="s">
        <v>46</v>
      </c>
      <c r="C154" s="88" t="s">
        <v>41</v>
      </c>
      <c r="D154" s="20">
        <v>50</v>
      </c>
      <c r="E154" s="20">
        <v>50</v>
      </c>
      <c r="F154" s="20">
        <f t="shared" si="0"/>
        <v>0</v>
      </c>
      <c r="G154" s="173" t="s">
        <v>159</v>
      </c>
    </row>
    <row r="155" spans="1:8" x14ac:dyDescent="0.25">
      <c r="A155" s="17">
        <v>19</v>
      </c>
      <c r="B155" s="20" t="s">
        <v>46</v>
      </c>
      <c r="C155" s="88" t="s">
        <v>640</v>
      </c>
      <c r="D155" s="20">
        <v>6</v>
      </c>
      <c r="E155" s="20"/>
      <c r="F155" s="20">
        <f t="shared" si="0"/>
        <v>6</v>
      </c>
      <c r="G155" s="173" t="s">
        <v>855</v>
      </c>
      <c r="H155" s="1" t="s">
        <v>896</v>
      </c>
    </row>
    <row r="156" spans="1:8" x14ac:dyDescent="0.25">
      <c r="A156" s="17">
        <v>19</v>
      </c>
      <c r="B156" s="20" t="s">
        <v>46</v>
      </c>
      <c r="C156" s="88" t="s">
        <v>743</v>
      </c>
      <c r="D156" s="20">
        <v>12</v>
      </c>
      <c r="E156" s="20">
        <v>12</v>
      </c>
      <c r="F156" s="20">
        <f t="shared" si="0"/>
        <v>0</v>
      </c>
      <c r="G156" s="173"/>
    </row>
    <row r="157" spans="1:8" x14ac:dyDescent="0.25">
      <c r="A157" s="17">
        <v>19</v>
      </c>
      <c r="B157" s="20" t="s">
        <v>46</v>
      </c>
      <c r="C157" s="88" t="s">
        <v>691</v>
      </c>
      <c r="D157" s="20">
        <v>22</v>
      </c>
      <c r="E157" s="20">
        <v>22</v>
      </c>
      <c r="F157" s="20">
        <f t="shared" si="0"/>
        <v>0</v>
      </c>
      <c r="G157" s="173"/>
    </row>
    <row r="158" spans="1:8" x14ac:dyDescent="0.25">
      <c r="A158" s="17">
        <v>19</v>
      </c>
      <c r="B158" s="20" t="s">
        <v>46</v>
      </c>
      <c r="C158" s="88" t="s">
        <v>45</v>
      </c>
      <c r="D158" s="20">
        <v>6</v>
      </c>
      <c r="E158" s="20">
        <v>4</v>
      </c>
      <c r="F158" s="20">
        <f t="shared" ref="F158:F277" si="1">D158-E158</f>
        <v>2</v>
      </c>
      <c r="G158" s="173" t="s">
        <v>855</v>
      </c>
    </row>
    <row r="159" spans="1:8" x14ac:dyDescent="0.25">
      <c r="A159" s="17">
        <v>19</v>
      </c>
      <c r="B159" s="20" t="s">
        <v>46</v>
      </c>
      <c r="C159" s="88" t="s">
        <v>38</v>
      </c>
      <c r="D159" s="20">
        <v>18</v>
      </c>
      <c r="E159" s="20">
        <v>18</v>
      </c>
      <c r="F159" s="20">
        <f t="shared" si="1"/>
        <v>0</v>
      </c>
      <c r="G159" s="173"/>
    </row>
    <row r="160" spans="1:8" x14ac:dyDescent="0.25">
      <c r="A160" s="17">
        <v>19</v>
      </c>
      <c r="B160" s="20" t="s">
        <v>46</v>
      </c>
      <c r="C160" s="88" t="s">
        <v>86</v>
      </c>
      <c r="D160" s="20">
        <v>4</v>
      </c>
      <c r="E160" s="20">
        <v>4</v>
      </c>
      <c r="F160" s="20">
        <f>D160-E160</f>
        <v>0</v>
      </c>
      <c r="G160" s="173" t="s">
        <v>159</v>
      </c>
    </row>
    <row r="161" spans="1:8" x14ac:dyDescent="0.25">
      <c r="A161" s="17">
        <v>19</v>
      </c>
      <c r="B161" s="20" t="s">
        <v>46</v>
      </c>
      <c r="C161" s="88" t="s">
        <v>275</v>
      </c>
      <c r="D161" s="20">
        <v>18</v>
      </c>
      <c r="E161" s="20">
        <v>18</v>
      </c>
      <c r="F161" s="20">
        <f>D161-E161</f>
        <v>0</v>
      </c>
      <c r="G161" s="173" t="s">
        <v>159</v>
      </c>
    </row>
    <row r="162" spans="1:8" x14ac:dyDescent="0.25">
      <c r="A162" s="17">
        <v>19</v>
      </c>
      <c r="B162" s="20" t="s">
        <v>46</v>
      </c>
      <c r="C162" s="88" t="s">
        <v>176</v>
      </c>
      <c r="D162" s="20">
        <v>4</v>
      </c>
      <c r="E162" s="20">
        <v>4</v>
      </c>
      <c r="F162" s="20">
        <f t="shared" si="1"/>
        <v>0</v>
      </c>
      <c r="G162" s="173"/>
    </row>
    <row r="163" spans="1:8" x14ac:dyDescent="0.25">
      <c r="A163" s="17">
        <v>19</v>
      </c>
      <c r="B163" s="20" t="s">
        <v>46</v>
      </c>
      <c r="C163" s="88" t="s">
        <v>177</v>
      </c>
      <c r="D163" s="20">
        <v>86</v>
      </c>
      <c r="E163" s="20">
        <v>86</v>
      </c>
      <c r="F163" s="20">
        <f t="shared" si="1"/>
        <v>0</v>
      </c>
      <c r="G163" s="173" t="s">
        <v>159</v>
      </c>
      <c r="H163" s="1" t="s">
        <v>28</v>
      </c>
    </row>
    <row r="164" spans="1:8" x14ac:dyDescent="0.25">
      <c r="A164" s="71"/>
      <c r="B164" s="71" t="s">
        <v>43</v>
      </c>
      <c r="C164" s="90"/>
      <c r="D164" s="71"/>
      <c r="E164" s="71"/>
      <c r="F164" s="71"/>
      <c r="G164" s="174"/>
    </row>
    <row r="165" spans="1:8" x14ac:dyDescent="0.25">
      <c r="A165" s="17">
        <v>19</v>
      </c>
      <c r="B165" s="20" t="s">
        <v>43</v>
      </c>
      <c r="C165" s="88" t="s">
        <v>752</v>
      </c>
      <c r="D165" s="20">
        <v>4</v>
      </c>
      <c r="E165" s="20"/>
      <c r="F165" s="20">
        <f t="shared" si="1"/>
        <v>4</v>
      </c>
      <c r="G165" s="173" t="s">
        <v>354</v>
      </c>
    </row>
    <row r="166" spans="1:8" x14ac:dyDescent="0.25">
      <c r="A166" s="17">
        <v>19</v>
      </c>
      <c r="B166" s="20" t="s">
        <v>43</v>
      </c>
      <c r="C166" s="88" t="s">
        <v>298</v>
      </c>
      <c r="D166" s="20">
        <v>10</v>
      </c>
      <c r="E166" s="20">
        <v>8</v>
      </c>
      <c r="F166" s="20">
        <f t="shared" si="1"/>
        <v>2</v>
      </c>
      <c r="G166" s="173" t="s">
        <v>159</v>
      </c>
    </row>
    <row r="167" spans="1:8" x14ac:dyDescent="0.25">
      <c r="A167" s="17">
        <v>19</v>
      </c>
      <c r="B167" s="20" t="s">
        <v>43</v>
      </c>
      <c r="C167" s="88" t="s">
        <v>1082</v>
      </c>
      <c r="D167" s="20">
        <v>36</v>
      </c>
      <c r="E167" s="20">
        <v>34</v>
      </c>
      <c r="F167" s="20">
        <f t="shared" si="1"/>
        <v>2</v>
      </c>
      <c r="G167" s="173" t="s">
        <v>225</v>
      </c>
    </row>
    <row r="168" spans="1:8" x14ac:dyDescent="0.25">
      <c r="A168" s="17">
        <v>19</v>
      </c>
      <c r="B168" s="20" t="s">
        <v>43</v>
      </c>
      <c r="C168" s="88" t="s">
        <v>164</v>
      </c>
      <c r="D168" s="20">
        <v>2</v>
      </c>
      <c r="E168" s="20">
        <v>2</v>
      </c>
      <c r="F168" s="20">
        <f t="shared" si="1"/>
        <v>0</v>
      </c>
      <c r="G168" s="173" t="s">
        <v>159</v>
      </c>
    </row>
    <row r="169" spans="1:8" x14ac:dyDescent="0.25">
      <c r="A169" s="17">
        <v>19</v>
      </c>
      <c r="B169" s="20" t="s">
        <v>43</v>
      </c>
      <c r="C169" s="88" t="s">
        <v>283</v>
      </c>
      <c r="D169" s="20">
        <v>4</v>
      </c>
      <c r="E169" s="20">
        <v>4</v>
      </c>
      <c r="F169" s="20">
        <f t="shared" si="1"/>
        <v>0</v>
      </c>
      <c r="G169" s="173" t="s">
        <v>159</v>
      </c>
    </row>
    <row r="170" spans="1:8" x14ac:dyDescent="0.25">
      <c r="A170" s="17">
        <v>19</v>
      </c>
      <c r="B170" s="20" t="s">
        <v>43</v>
      </c>
      <c r="C170" s="88" t="s">
        <v>347</v>
      </c>
      <c r="D170" s="20">
        <v>2</v>
      </c>
      <c r="E170" s="20">
        <v>2</v>
      </c>
      <c r="F170" s="20">
        <f t="shared" si="1"/>
        <v>0</v>
      </c>
      <c r="G170" s="173">
        <v>2016</v>
      </c>
    </row>
    <row r="171" spans="1:8" x14ac:dyDescent="0.25">
      <c r="A171" s="17">
        <v>19</v>
      </c>
      <c r="B171" s="20" t="s">
        <v>43</v>
      </c>
      <c r="C171" s="88" t="s">
        <v>177</v>
      </c>
      <c r="D171" s="20">
        <v>20</v>
      </c>
      <c r="E171" s="20">
        <v>18</v>
      </c>
      <c r="F171" s="20">
        <f t="shared" si="1"/>
        <v>2</v>
      </c>
      <c r="G171" s="173" t="s">
        <v>159</v>
      </c>
    </row>
    <row r="172" spans="1:8" x14ac:dyDescent="0.25">
      <c r="A172" s="17">
        <v>19</v>
      </c>
      <c r="B172" s="20" t="s">
        <v>43</v>
      </c>
      <c r="C172" s="88" t="s">
        <v>879</v>
      </c>
      <c r="D172" s="20">
        <v>10</v>
      </c>
      <c r="E172" s="20">
        <v>6</v>
      </c>
      <c r="F172" s="20">
        <f t="shared" si="1"/>
        <v>4</v>
      </c>
      <c r="G172" s="173" t="s">
        <v>354</v>
      </c>
    </row>
    <row r="173" spans="1:8" x14ac:dyDescent="0.25">
      <c r="A173" s="17">
        <v>19</v>
      </c>
      <c r="B173" s="20" t="s">
        <v>43</v>
      </c>
      <c r="C173" s="88" t="s">
        <v>841</v>
      </c>
      <c r="D173" s="20">
        <v>10</v>
      </c>
      <c r="E173" s="20">
        <v>10</v>
      </c>
      <c r="F173" s="20">
        <f t="shared" si="1"/>
        <v>0</v>
      </c>
      <c r="G173" s="173">
        <v>2020</v>
      </c>
    </row>
    <row r="174" spans="1:8" x14ac:dyDescent="0.25">
      <c r="A174" s="17">
        <v>19</v>
      </c>
      <c r="B174" s="20" t="s">
        <v>43</v>
      </c>
      <c r="C174" s="88" t="s">
        <v>917</v>
      </c>
      <c r="D174" s="20">
        <v>6</v>
      </c>
      <c r="E174" s="20">
        <v>6</v>
      </c>
      <c r="F174" s="20">
        <f t="shared" si="1"/>
        <v>0</v>
      </c>
      <c r="G174" s="173"/>
    </row>
    <row r="175" spans="1:8" x14ac:dyDescent="0.25">
      <c r="A175" s="17">
        <v>19</v>
      </c>
      <c r="B175" s="20" t="s">
        <v>43</v>
      </c>
      <c r="C175" s="88" t="s">
        <v>344</v>
      </c>
      <c r="D175" s="20">
        <v>2</v>
      </c>
      <c r="E175" s="20">
        <v>2</v>
      </c>
      <c r="F175" s="20">
        <f t="shared" si="1"/>
        <v>0</v>
      </c>
      <c r="G175" s="173"/>
    </row>
    <row r="176" spans="1:8" x14ac:dyDescent="0.25">
      <c r="A176" s="17">
        <v>19</v>
      </c>
      <c r="B176" s="20" t="s">
        <v>43</v>
      </c>
      <c r="C176" s="88" t="s">
        <v>459</v>
      </c>
      <c r="D176" s="20">
        <v>14</v>
      </c>
      <c r="E176" s="20">
        <v>12</v>
      </c>
      <c r="F176" s="20">
        <f t="shared" si="1"/>
        <v>2</v>
      </c>
      <c r="G176" s="173"/>
    </row>
    <row r="177" spans="1:8" x14ac:dyDescent="0.25">
      <c r="A177" s="17">
        <v>19</v>
      </c>
      <c r="B177" s="20" t="s">
        <v>43</v>
      </c>
      <c r="C177" s="88" t="s">
        <v>977</v>
      </c>
      <c r="D177" s="20">
        <v>8</v>
      </c>
      <c r="E177" s="20">
        <v>8</v>
      </c>
      <c r="F177" s="20">
        <f t="shared" si="1"/>
        <v>0</v>
      </c>
      <c r="G177" s="173"/>
    </row>
    <row r="178" spans="1:8" x14ac:dyDescent="0.25">
      <c r="A178" s="17">
        <v>19</v>
      </c>
      <c r="B178" s="20" t="s">
        <v>43</v>
      </c>
      <c r="C178" s="88" t="s">
        <v>402</v>
      </c>
      <c r="D178" s="20">
        <v>8</v>
      </c>
      <c r="E178" s="20">
        <v>6</v>
      </c>
      <c r="F178" s="20">
        <f t="shared" si="1"/>
        <v>2</v>
      </c>
      <c r="G178" s="173"/>
    </row>
    <row r="179" spans="1:8" x14ac:dyDescent="0.25">
      <c r="A179" s="17">
        <v>19</v>
      </c>
      <c r="B179" s="20" t="s">
        <v>43</v>
      </c>
      <c r="C179" s="88" t="s">
        <v>41</v>
      </c>
      <c r="D179" s="20">
        <v>64</v>
      </c>
      <c r="E179" s="20">
        <v>64</v>
      </c>
      <c r="F179" s="20">
        <f t="shared" si="1"/>
        <v>0</v>
      </c>
      <c r="G179" s="173" t="s">
        <v>172</v>
      </c>
    </row>
    <row r="180" spans="1:8" x14ac:dyDescent="0.25">
      <c r="A180" s="17">
        <v>19</v>
      </c>
      <c r="B180" s="20" t="s">
        <v>43</v>
      </c>
      <c r="C180" s="88" t="s">
        <v>1071</v>
      </c>
      <c r="D180" s="20">
        <v>8</v>
      </c>
      <c r="E180" s="20"/>
      <c r="F180" s="20">
        <f t="shared" si="1"/>
        <v>8</v>
      </c>
      <c r="G180" s="173"/>
    </row>
    <row r="181" spans="1:8" x14ac:dyDescent="0.25">
      <c r="A181" s="71"/>
      <c r="B181" s="71" t="s">
        <v>197</v>
      </c>
      <c r="C181" s="90"/>
      <c r="D181" s="71"/>
      <c r="E181" s="71"/>
      <c r="F181" s="71"/>
      <c r="G181" s="174"/>
    </row>
    <row r="182" spans="1:8" x14ac:dyDescent="0.25">
      <c r="A182" s="17">
        <v>19</v>
      </c>
      <c r="B182" s="20" t="s">
        <v>63</v>
      </c>
      <c r="C182" s="88" t="s">
        <v>487</v>
      </c>
      <c r="D182" s="20">
        <v>2</v>
      </c>
      <c r="E182" s="20"/>
      <c r="F182" s="20">
        <f>D182-E182</f>
        <v>2</v>
      </c>
      <c r="G182" s="173" t="s">
        <v>159</v>
      </c>
    </row>
    <row r="183" spans="1:8" x14ac:dyDescent="0.25">
      <c r="A183" s="17">
        <v>19</v>
      </c>
      <c r="B183" s="20" t="s">
        <v>63</v>
      </c>
      <c r="C183" s="88" t="s">
        <v>359</v>
      </c>
      <c r="D183" s="20">
        <v>2</v>
      </c>
      <c r="E183" s="20">
        <v>2</v>
      </c>
      <c r="F183" s="20">
        <f>D183-E183</f>
        <v>0</v>
      </c>
      <c r="G183" s="173" t="s">
        <v>983</v>
      </c>
    </row>
    <row r="184" spans="1:8" x14ac:dyDescent="0.25">
      <c r="A184" s="17">
        <v>19</v>
      </c>
      <c r="B184" s="20" t="s">
        <v>63</v>
      </c>
      <c r="C184" s="88" t="s">
        <v>697</v>
      </c>
      <c r="D184" s="20">
        <v>10</v>
      </c>
      <c r="E184" s="20">
        <v>10</v>
      </c>
      <c r="F184" s="20">
        <f t="shared" si="1"/>
        <v>0</v>
      </c>
      <c r="G184" s="173"/>
      <c r="H184" s="1" t="s">
        <v>943</v>
      </c>
    </row>
    <row r="185" spans="1:8" x14ac:dyDescent="0.25">
      <c r="A185" s="17">
        <v>19</v>
      </c>
      <c r="B185" s="20" t="s">
        <v>63</v>
      </c>
      <c r="C185" s="88" t="s">
        <v>704</v>
      </c>
      <c r="D185" s="20">
        <v>2</v>
      </c>
      <c r="E185" s="20"/>
      <c r="F185" s="20">
        <f t="shared" si="1"/>
        <v>2</v>
      </c>
      <c r="G185" s="173"/>
    </row>
    <row r="186" spans="1:8" x14ac:dyDescent="0.25">
      <c r="A186" s="17">
        <v>19</v>
      </c>
      <c r="B186" s="20" t="s">
        <v>63</v>
      </c>
      <c r="C186" s="88" t="s">
        <v>41</v>
      </c>
      <c r="D186" s="20">
        <v>30</v>
      </c>
      <c r="E186" s="20">
        <v>28</v>
      </c>
      <c r="F186" s="20">
        <f t="shared" si="1"/>
        <v>2</v>
      </c>
      <c r="G186" s="173"/>
    </row>
    <row r="187" spans="1:8" x14ac:dyDescent="0.25">
      <c r="A187" s="17">
        <v>19</v>
      </c>
      <c r="B187" s="20" t="s">
        <v>63</v>
      </c>
      <c r="C187" s="88" t="s">
        <v>337</v>
      </c>
      <c r="D187" s="20">
        <v>6</v>
      </c>
      <c r="E187" s="20">
        <v>4</v>
      </c>
      <c r="F187" s="20">
        <f t="shared" si="1"/>
        <v>2</v>
      </c>
      <c r="G187" s="173"/>
    </row>
    <row r="188" spans="1:8" x14ac:dyDescent="0.25">
      <c r="A188" s="17">
        <v>19</v>
      </c>
      <c r="B188" s="20" t="s">
        <v>63</v>
      </c>
      <c r="C188" s="88" t="s">
        <v>40</v>
      </c>
      <c r="D188" s="20">
        <v>8</v>
      </c>
      <c r="E188" s="20">
        <v>4</v>
      </c>
      <c r="F188" s="20">
        <f t="shared" si="1"/>
        <v>4</v>
      </c>
      <c r="G188" s="173" t="s">
        <v>172</v>
      </c>
    </row>
    <row r="189" spans="1:8" x14ac:dyDescent="0.25">
      <c r="A189" s="17">
        <v>19</v>
      </c>
      <c r="B189" s="20" t="s">
        <v>63</v>
      </c>
      <c r="C189" s="88" t="s">
        <v>689</v>
      </c>
      <c r="D189" s="20">
        <v>4</v>
      </c>
      <c r="E189" s="20"/>
      <c r="F189" s="20">
        <f t="shared" si="1"/>
        <v>4</v>
      </c>
      <c r="G189" s="173" t="s">
        <v>607</v>
      </c>
    </row>
    <row r="190" spans="1:8" x14ac:dyDescent="0.25">
      <c r="A190" s="17">
        <v>19</v>
      </c>
      <c r="B190" s="20" t="s">
        <v>63</v>
      </c>
      <c r="C190" s="88" t="s">
        <v>986</v>
      </c>
      <c r="D190" s="20">
        <v>6</v>
      </c>
      <c r="E190" s="20"/>
      <c r="F190" s="20">
        <f t="shared" si="1"/>
        <v>6</v>
      </c>
      <c r="G190" s="173"/>
    </row>
    <row r="191" spans="1:8" x14ac:dyDescent="0.25">
      <c r="A191" s="17">
        <v>19</v>
      </c>
      <c r="B191" s="20" t="s">
        <v>63</v>
      </c>
      <c r="C191" s="88" t="s">
        <v>467</v>
      </c>
      <c r="D191" s="20">
        <v>4</v>
      </c>
      <c r="E191" s="20">
        <v>4</v>
      </c>
      <c r="F191" s="20">
        <f t="shared" si="1"/>
        <v>0</v>
      </c>
      <c r="G191" s="173"/>
    </row>
    <row r="192" spans="1:8" x14ac:dyDescent="0.25">
      <c r="A192" s="17">
        <v>19</v>
      </c>
      <c r="B192" s="20" t="s">
        <v>63</v>
      </c>
      <c r="C192" s="88" t="s">
        <v>1071</v>
      </c>
      <c r="D192" s="20">
        <v>12</v>
      </c>
      <c r="E192" s="20"/>
      <c r="F192" s="20">
        <f t="shared" si="1"/>
        <v>12</v>
      </c>
      <c r="G192" s="173"/>
    </row>
    <row r="193" spans="1:7" x14ac:dyDescent="0.25">
      <c r="A193" s="17">
        <v>19</v>
      </c>
      <c r="B193" s="20" t="s">
        <v>58</v>
      </c>
      <c r="C193" s="88" t="s">
        <v>219</v>
      </c>
      <c r="D193" s="20">
        <v>2</v>
      </c>
      <c r="E193" s="20">
        <v>2</v>
      </c>
      <c r="F193" s="20">
        <f t="shared" si="1"/>
        <v>0</v>
      </c>
      <c r="G193" s="173"/>
    </row>
    <row r="194" spans="1:7" x14ac:dyDescent="0.25">
      <c r="A194" s="17">
        <v>19</v>
      </c>
      <c r="B194" s="20" t="s">
        <v>149</v>
      </c>
      <c r="C194" s="88" t="s">
        <v>221</v>
      </c>
      <c r="D194" s="20">
        <v>18</v>
      </c>
      <c r="E194" s="20">
        <v>16</v>
      </c>
      <c r="F194" s="20">
        <f t="shared" si="1"/>
        <v>2</v>
      </c>
      <c r="G194" s="173"/>
    </row>
    <row r="195" spans="1:7" x14ac:dyDescent="0.25">
      <c r="A195" s="17">
        <v>19</v>
      </c>
      <c r="B195" s="20" t="s">
        <v>58</v>
      </c>
      <c r="C195" s="88" t="s">
        <v>1087</v>
      </c>
      <c r="D195" s="20">
        <v>34</v>
      </c>
      <c r="E195" s="20">
        <v>32</v>
      </c>
      <c r="F195" s="20">
        <f t="shared" si="1"/>
        <v>2</v>
      </c>
      <c r="G195" s="173" t="s">
        <v>207</v>
      </c>
    </row>
    <row r="196" spans="1:7" x14ac:dyDescent="0.25">
      <c r="A196" s="17">
        <v>19</v>
      </c>
      <c r="B196" s="20" t="s">
        <v>58</v>
      </c>
      <c r="C196" s="88" t="s">
        <v>204</v>
      </c>
      <c r="D196" s="20">
        <v>24</v>
      </c>
      <c r="E196" s="20">
        <v>24</v>
      </c>
      <c r="F196" s="20">
        <f t="shared" si="1"/>
        <v>0</v>
      </c>
      <c r="G196" s="173"/>
    </row>
    <row r="197" spans="1:7" x14ac:dyDescent="0.25">
      <c r="A197" s="17">
        <v>19</v>
      </c>
      <c r="B197" s="20" t="s">
        <v>58</v>
      </c>
      <c r="C197" s="88" t="s">
        <v>459</v>
      </c>
      <c r="D197" s="20">
        <v>8</v>
      </c>
      <c r="E197" s="20">
        <v>8</v>
      </c>
      <c r="F197" s="20">
        <f t="shared" si="1"/>
        <v>0</v>
      </c>
      <c r="G197" s="173" t="s">
        <v>607</v>
      </c>
    </row>
    <row r="198" spans="1:7" x14ac:dyDescent="0.25">
      <c r="A198" s="17">
        <v>19</v>
      </c>
      <c r="B198" s="20" t="s">
        <v>58</v>
      </c>
      <c r="C198" s="88" t="s">
        <v>481</v>
      </c>
      <c r="D198" s="20">
        <v>4</v>
      </c>
      <c r="E198" s="20">
        <v>2</v>
      </c>
      <c r="F198" s="20">
        <f t="shared" si="1"/>
        <v>2</v>
      </c>
      <c r="G198" s="173"/>
    </row>
    <row r="199" spans="1:7" x14ac:dyDescent="0.25">
      <c r="A199" s="17">
        <v>19</v>
      </c>
      <c r="B199" s="20" t="s">
        <v>58</v>
      </c>
      <c r="C199" s="88" t="s">
        <v>167</v>
      </c>
      <c r="D199" s="20">
        <v>12</v>
      </c>
      <c r="E199" s="20">
        <v>12</v>
      </c>
      <c r="F199" s="20">
        <f t="shared" si="1"/>
        <v>0</v>
      </c>
      <c r="G199" s="173"/>
    </row>
    <row r="200" spans="1:7" x14ac:dyDescent="0.25">
      <c r="A200" s="17">
        <v>19</v>
      </c>
      <c r="B200" s="20" t="s">
        <v>58</v>
      </c>
      <c r="C200" s="88" t="s">
        <v>148</v>
      </c>
      <c r="D200" s="20">
        <v>14</v>
      </c>
      <c r="E200" s="20">
        <v>8</v>
      </c>
      <c r="F200" s="20">
        <f t="shared" si="1"/>
        <v>6</v>
      </c>
      <c r="G200" s="173" t="s">
        <v>542</v>
      </c>
    </row>
    <row r="201" spans="1:7" x14ac:dyDescent="0.25">
      <c r="A201" s="17">
        <v>19</v>
      </c>
      <c r="B201" s="20" t="s">
        <v>58</v>
      </c>
      <c r="C201" s="88" t="s">
        <v>117</v>
      </c>
      <c r="D201" s="20">
        <v>8</v>
      </c>
      <c r="E201" s="20">
        <v>8</v>
      </c>
      <c r="F201" s="20">
        <f t="shared" si="1"/>
        <v>0</v>
      </c>
      <c r="G201" s="173"/>
    </row>
    <row r="202" spans="1:7" x14ac:dyDescent="0.25">
      <c r="A202" s="17">
        <v>19</v>
      </c>
      <c r="B202" s="20" t="s">
        <v>58</v>
      </c>
      <c r="C202" s="88" t="s">
        <v>40</v>
      </c>
      <c r="D202" s="20">
        <v>46</v>
      </c>
      <c r="E202" s="20">
        <v>34</v>
      </c>
      <c r="F202" s="20">
        <f t="shared" si="1"/>
        <v>12</v>
      </c>
      <c r="G202" s="173" t="s">
        <v>179</v>
      </c>
    </row>
    <row r="203" spans="1:7" x14ac:dyDescent="0.25">
      <c r="A203" s="17">
        <v>19</v>
      </c>
      <c r="B203" s="20" t="s">
        <v>58</v>
      </c>
      <c r="C203" s="88" t="s">
        <v>505</v>
      </c>
      <c r="D203" s="20">
        <v>4</v>
      </c>
      <c r="E203" s="20">
        <v>4</v>
      </c>
      <c r="F203" s="20">
        <f t="shared" si="1"/>
        <v>0</v>
      </c>
      <c r="G203" s="173"/>
    </row>
    <row r="204" spans="1:7" x14ac:dyDescent="0.25">
      <c r="A204" s="17">
        <v>19</v>
      </c>
      <c r="B204" s="20" t="s">
        <v>216</v>
      </c>
      <c r="C204" s="88" t="s">
        <v>444</v>
      </c>
      <c r="D204" s="20">
        <v>4</v>
      </c>
      <c r="E204" s="20">
        <v>4</v>
      </c>
      <c r="F204" s="20">
        <f t="shared" si="1"/>
        <v>0</v>
      </c>
      <c r="G204" s="173" t="s">
        <v>159</v>
      </c>
    </row>
    <row r="205" spans="1:7" x14ac:dyDescent="0.25">
      <c r="A205" s="17">
        <v>19</v>
      </c>
      <c r="B205" s="20" t="s">
        <v>13</v>
      </c>
      <c r="C205" s="88" t="s">
        <v>1043</v>
      </c>
      <c r="D205" s="20">
        <v>8</v>
      </c>
      <c r="E205" s="20">
        <v>4</v>
      </c>
      <c r="F205" s="20">
        <f t="shared" si="1"/>
        <v>4</v>
      </c>
      <c r="G205" s="173" t="s">
        <v>159</v>
      </c>
    </row>
    <row r="206" spans="1:7" x14ac:dyDescent="0.25">
      <c r="A206" s="17">
        <v>19</v>
      </c>
      <c r="B206" s="20" t="s">
        <v>13</v>
      </c>
      <c r="C206" s="88" t="s">
        <v>71</v>
      </c>
      <c r="D206" s="20">
        <v>10</v>
      </c>
      <c r="E206" s="20">
        <v>8</v>
      </c>
      <c r="F206" s="20">
        <f t="shared" si="1"/>
        <v>2</v>
      </c>
      <c r="G206" s="173" t="s">
        <v>607</v>
      </c>
    </row>
    <row r="207" spans="1:7" x14ac:dyDescent="0.25">
      <c r="A207" s="17">
        <v>19</v>
      </c>
      <c r="B207" s="20" t="s">
        <v>13</v>
      </c>
      <c r="C207" s="88" t="s">
        <v>967</v>
      </c>
      <c r="D207" s="20">
        <v>8</v>
      </c>
      <c r="E207" s="20">
        <v>4</v>
      </c>
      <c r="F207" s="20">
        <f t="shared" si="1"/>
        <v>4</v>
      </c>
      <c r="G207" s="173" t="s">
        <v>988</v>
      </c>
    </row>
    <row r="208" spans="1:7" x14ac:dyDescent="0.25">
      <c r="A208" s="17">
        <v>19</v>
      </c>
      <c r="B208" s="20" t="s">
        <v>13</v>
      </c>
      <c r="C208" s="88" t="s">
        <v>229</v>
      </c>
      <c r="D208" s="20">
        <v>2</v>
      </c>
      <c r="E208" s="20"/>
      <c r="F208" s="20">
        <f t="shared" si="1"/>
        <v>2</v>
      </c>
      <c r="G208" s="173" t="s">
        <v>983</v>
      </c>
    </row>
    <row r="209" spans="1:8" x14ac:dyDescent="0.25">
      <c r="A209" s="17">
        <v>19</v>
      </c>
      <c r="B209" s="20" t="s">
        <v>13</v>
      </c>
      <c r="C209" s="88" t="s">
        <v>677</v>
      </c>
      <c r="D209" s="20">
        <v>4</v>
      </c>
      <c r="E209" s="20">
        <v>2</v>
      </c>
      <c r="F209" s="20">
        <f t="shared" si="1"/>
        <v>2</v>
      </c>
      <c r="G209" s="173"/>
    </row>
    <row r="210" spans="1:8" x14ac:dyDescent="0.25">
      <c r="A210" s="17">
        <v>19</v>
      </c>
      <c r="B210" s="20" t="s">
        <v>13</v>
      </c>
      <c r="C210" s="88" t="s">
        <v>459</v>
      </c>
      <c r="D210" s="20">
        <v>2</v>
      </c>
      <c r="E210" s="20"/>
      <c r="F210" s="20">
        <f t="shared" si="1"/>
        <v>2</v>
      </c>
      <c r="G210" s="173" t="s">
        <v>983</v>
      </c>
    </row>
    <row r="211" spans="1:8" x14ac:dyDescent="0.25">
      <c r="A211" s="17">
        <v>19</v>
      </c>
      <c r="B211" s="20" t="s">
        <v>13</v>
      </c>
      <c r="C211" s="88" t="s">
        <v>814</v>
      </c>
      <c r="D211" s="20">
        <v>4</v>
      </c>
      <c r="E211" s="20"/>
      <c r="F211" s="20">
        <f t="shared" si="1"/>
        <v>4</v>
      </c>
      <c r="G211" s="173" t="s">
        <v>634</v>
      </c>
    </row>
    <row r="212" spans="1:8" x14ac:dyDescent="0.25">
      <c r="A212" s="17">
        <v>19</v>
      </c>
      <c r="B212" s="20" t="s">
        <v>13</v>
      </c>
      <c r="C212" s="88" t="s">
        <v>83</v>
      </c>
      <c r="D212" s="20">
        <v>6</v>
      </c>
      <c r="E212" s="20">
        <v>6</v>
      </c>
      <c r="F212" s="20">
        <f t="shared" si="1"/>
        <v>0</v>
      </c>
      <c r="G212" s="173" t="s">
        <v>607</v>
      </c>
    </row>
    <row r="213" spans="1:8" x14ac:dyDescent="0.25">
      <c r="A213" s="17">
        <v>19</v>
      </c>
      <c r="B213" s="20" t="s">
        <v>13</v>
      </c>
      <c r="C213" s="37" t="s">
        <v>331</v>
      </c>
      <c r="D213" s="20">
        <v>50</v>
      </c>
      <c r="E213" s="20">
        <v>48</v>
      </c>
      <c r="F213" s="20">
        <f t="shared" si="1"/>
        <v>2</v>
      </c>
      <c r="G213" s="173" t="s">
        <v>178</v>
      </c>
      <c r="H213" s="1" t="s">
        <v>775</v>
      </c>
    </row>
    <row r="214" spans="1:8" x14ac:dyDescent="0.25">
      <c r="A214" s="17">
        <v>19</v>
      </c>
      <c r="B214" s="20" t="s">
        <v>13</v>
      </c>
      <c r="C214" s="37" t="s">
        <v>177</v>
      </c>
      <c r="D214" s="20">
        <v>6</v>
      </c>
      <c r="E214" s="20">
        <v>6</v>
      </c>
      <c r="F214" s="20">
        <f t="shared" si="1"/>
        <v>0</v>
      </c>
      <c r="G214" s="173"/>
    </row>
    <row r="215" spans="1:8" x14ac:dyDescent="0.25">
      <c r="A215" s="71"/>
      <c r="B215" s="71" t="s">
        <v>95</v>
      </c>
      <c r="C215" s="90"/>
      <c r="D215" s="71"/>
      <c r="E215" s="71"/>
      <c r="F215" s="71"/>
      <c r="G215" s="174"/>
    </row>
    <row r="216" spans="1:8" x14ac:dyDescent="0.25">
      <c r="A216" s="17">
        <v>19</v>
      </c>
      <c r="B216" s="20" t="s">
        <v>95</v>
      </c>
      <c r="C216" s="88" t="s">
        <v>71</v>
      </c>
      <c r="D216" s="20">
        <v>28</v>
      </c>
      <c r="E216" s="20">
        <v>24</v>
      </c>
      <c r="F216" s="20">
        <f t="shared" si="1"/>
        <v>4</v>
      </c>
      <c r="G216" s="173" t="s">
        <v>159</v>
      </c>
    </row>
    <row r="217" spans="1:8" x14ac:dyDescent="0.25">
      <c r="A217" s="17">
        <v>19</v>
      </c>
      <c r="B217" s="20" t="s">
        <v>95</v>
      </c>
      <c r="C217" s="88" t="s">
        <v>349</v>
      </c>
      <c r="D217" s="20">
        <v>8</v>
      </c>
      <c r="E217" s="20">
        <v>4</v>
      </c>
      <c r="F217" s="20">
        <f t="shared" si="1"/>
        <v>4</v>
      </c>
      <c r="G217" s="173" t="s">
        <v>499</v>
      </c>
    </row>
    <row r="218" spans="1:8" x14ac:dyDescent="0.25">
      <c r="A218" s="17">
        <v>19</v>
      </c>
      <c r="B218" s="20" t="s">
        <v>95</v>
      </c>
      <c r="C218" s="88" t="s">
        <v>351</v>
      </c>
      <c r="D218" s="20">
        <v>12</v>
      </c>
      <c r="E218" s="20">
        <v>12</v>
      </c>
      <c r="F218" s="20">
        <f t="shared" si="1"/>
        <v>0</v>
      </c>
      <c r="G218" s="173" t="s">
        <v>159</v>
      </c>
    </row>
    <row r="219" spans="1:8" x14ac:dyDescent="0.25">
      <c r="A219" s="17">
        <v>19</v>
      </c>
      <c r="B219" s="20" t="s">
        <v>641</v>
      </c>
      <c r="C219" s="88" t="s">
        <v>676</v>
      </c>
      <c r="D219" s="20">
        <v>2</v>
      </c>
      <c r="E219" s="20">
        <v>2</v>
      </c>
      <c r="F219" s="20">
        <f t="shared" si="1"/>
        <v>0</v>
      </c>
      <c r="G219" s="173"/>
    </row>
    <row r="220" spans="1:8" x14ac:dyDescent="0.25">
      <c r="A220" s="17">
        <v>19</v>
      </c>
      <c r="B220" s="20" t="s">
        <v>641</v>
      </c>
      <c r="C220" s="88" t="s">
        <v>802</v>
      </c>
      <c r="D220" s="20">
        <v>8</v>
      </c>
      <c r="E220" s="20">
        <v>4</v>
      </c>
      <c r="F220" s="20">
        <f t="shared" si="1"/>
        <v>4</v>
      </c>
      <c r="G220" s="173"/>
    </row>
    <row r="221" spans="1:8" x14ac:dyDescent="0.25">
      <c r="A221" s="71"/>
      <c r="B221" s="71" t="s">
        <v>198</v>
      </c>
      <c r="C221" s="90"/>
      <c r="D221" s="71"/>
      <c r="E221" s="71"/>
      <c r="F221" s="71"/>
      <c r="G221" s="174"/>
      <c r="H221" s="1" t="s">
        <v>207</v>
      </c>
    </row>
    <row r="222" spans="1:8" x14ac:dyDescent="0.25">
      <c r="A222" s="17">
        <v>19</v>
      </c>
      <c r="B222" s="20" t="s">
        <v>61</v>
      </c>
      <c r="C222" s="88" t="s">
        <v>41</v>
      </c>
      <c r="D222" s="20">
        <v>8</v>
      </c>
      <c r="E222" s="20">
        <v>8</v>
      </c>
      <c r="F222" s="20">
        <f t="shared" si="1"/>
        <v>0</v>
      </c>
      <c r="G222" s="173" t="s">
        <v>631</v>
      </c>
    </row>
    <row r="223" spans="1:8" x14ac:dyDescent="0.25">
      <c r="A223" s="17">
        <v>19</v>
      </c>
      <c r="B223" s="20" t="s">
        <v>61</v>
      </c>
      <c r="C223" s="88" t="s">
        <v>1071</v>
      </c>
      <c r="D223" s="20">
        <v>4</v>
      </c>
      <c r="E223" s="20"/>
      <c r="F223" s="20">
        <f t="shared" si="1"/>
        <v>4</v>
      </c>
      <c r="G223" s="173" t="s">
        <v>354</v>
      </c>
    </row>
    <row r="224" spans="1:8" x14ac:dyDescent="0.25">
      <c r="A224" s="17">
        <v>19</v>
      </c>
      <c r="B224" s="20" t="s">
        <v>50</v>
      </c>
      <c r="C224" s="88" t="s">
        <v>41</v>
      </c>
      <c r="D224" s="20">
        <v>2</v>
      </c>
      <c r="E224" s="20">
        <v>2</v>
      </c>
      <c r="F224" s="20">
        <f t="shared" si="1"/>
        <v>0</v>
      </c>
      <c r="G224" s="173" t="s">
        <v>607</v>
      </c>
    </row>
    <row r="225" spans="1:8" x14ac:dyDescent="0.25">
      <c r="A225" s="17">
        <v>19</v>
      </c>
      <c r="B225" s="20" t="s">
        <v>50</v>
      </c>
      <c r="C225" s="88" t="s">
        <v>686</v>
      </c>
      <c r="D225" s="20">
        <v>8</v>
      </c>
      <c r="E225" s="20">
        <v>8</v>
      </c>
      <c r="F225" s="20">
        <f t="shared" si="1"/>
        <v>0</v>
      </c>
      <c r="G225" s="173"/>
    </row>
    <row r="226" spans="1:8" x14ac:dyDescent="0.25">
      <c r="A226" s="17">
        <v>19</v>
      </c>
      <c r="B226" s="20" t="s">
        <v>50</v>
      </c>
      <c r="C226" s="88" t="s">
        <v>698</v>
      </c>
      <c r="D226" s="20">
        <v>2</v>
      </c>
      <c r="E226" s="20">
        <v>2</v>
      </c>
      <c r="F226" s="20">
        <f t="shared" si="1"/>
        <v>0</v>
      </c>
      <c r="G226" s="173"/>
    </row>
    <row r="227" spans="1:8" x14ac:dyDescent="0.25">
      <c r="A227" s="17">
        <v>19</v>
      </c>
      <c r="B227" s="20" t="s">
        <v>50</v>
      </c>
      <c r="C227" s="88" t="s">
        <v>745</v>
      </c>
      <c r="D227" s="20">
        <v>6</v>
      </c>
      <c r="E227" s="20">
        <v>6</v>
      </c>
      <c r="F227" s="20">
        <f t="shared" si="1"/>
        <v>0</v>
      </c>
      <c r="G227" s="173" t="s">
        <v>159</v>
      </c>
    </row>
    <row r="228" spans="1:8" x14ac:dyDescent="0.25">
      <c r="A228" s="17">
        <v>19</v>
      </c>
      <c r="B228" s="20" t="s">
        <v>50</v>
      </c>
      <c r="C228" s="88" t="s">
        <v>684</v>
      </c>
      <c r="D228" s="20">
        <v>4</v>
      </c>
      <c r="E228" s="20">
        <v>4</v>
      </c>
      <c r="F228" s="20">
        <f t="shared" si="1"/>
        <v>0</v>
      </c>
      <c r="G228" s="173" t="s">
        <v>377</v>
      </c>
    </row>
    <row r="229" spans="1:8" x14ac:dyDescent="0.25">
      <c r="A229" s="17">
        <v>19</v>
      </c>
      <c r="B229" s="20" t="s">
        <v>50</v>
      </c>
      <c r="C229" s="88" t="s">
        <v>752</v>
      </c>
      <c r="D229" s="20">
        <v>4</v>
      </c>
      <c r="E229" s="20">
        <v>4</v>
      </c>
      <c r="F229" s="20">
        <f t="shared" ref="F229:F235" si="2">D229-E229</f>
        <v>0</v>
      </c>
      <c r="G229" s="173" t="s">
        <v>354</v>
      </c>
    </row>
    <row r="230" spans="1:8" x14ac:dyDescent="0.25">
      <c r="A230" s="17">
        <v>19</v>
      </c>
      <c r="B230" s="20" t="s">
        <v>50</v>
      </c>
      <c r="C230" s="88" t="s">
        <v>693</v>
      </c>
      <c r="D230" s="20">
        <v>6</v>
      </c>
      <c r="E230" s="20">
        <v>6</v>
      </c>
      <c r="F230" s="20">
        <f t="shared" si="2"/>
        <v>0</v>
      </c>
      <c r="G230" s="173" t="s">
        <v>788</v>
      </c>
    </row>
    <row r="231" spans="1:8" x14ac:dyDescent="0.25">
      <c r="A231" s="17">
        <v>19</v>
      </c>
      <c r="B231" s="20" t="s">
        <v>50</v>
      </c>
      <c r="C231" s="88" t="s">
        <v>459</v>
      </c>
      <c r="D231" s="20">
        <v>2</v>
      </c>
      <c r="E231" s="20">
        <v>2</v>
      </c>
      <c r="F231" s="20">
        <f t="shared" si="2"/>
        <v>0</v>
      </c>
      <c r="G231" s="173"/>
    </row>
    <row r="232" spans="1:8" x14ac:dyDescent="0.25">
      <c r="A232" s="17">
        <v>19</v>
      </c>
      <c r="B232" s="20" t="s">
        <v>50</v>
      </c>
      <c r="C232" s="88" t="s">
        <v>278</v>
      </c>
      <c r="D232" s="20">
        <v>4</v>
      </c>
      <c r="E232" s="20">
        <v>4</v>
      </c>
      <c r="F232" s="20">
        <f t="shared" si="2"/>
        <v>0</v>
      </c>
      <c r="G232" s="173"/>
    </row>
    <row r="233" spans="1:8" x14ac:dyDescent="0.25">
      <c r="A233" s="17">
        <v>19</v>
      </c>
      <c r="B233" s="20" t="s">
        <v>50</v>
      </c>
      <c r="C233" s="88" t="s">
        <v>925</v>
      </c>
      <c r="D233" s="20">
        <v>2</v>
      </c>
      <c r="E233" s="20">
        <v>2</v>
      </c>
      <c r="F233" s="20">
        <f t="shared" si="2"/>
        <v>0</v>
      </c>
      <c r="G233" s="173"/>
    </row>
    <row r="234" spans="1:8" x14ac:dyDescent="0.25">
      <c r="A234" s="17">
        <v>19</v>
      </c>
      <c r="B234" s="20" t="s">
        <v>50</v>
      </c>
      <c r="C234" s="88" t="s">
        <v>22</v>
      </c>
      <c r="D234" s="20">
        <v>12</v>
      </c>
      <c r="E234" s="20">
        <v>10</v>
      </c>
      <c r="F234" s="20">
        <f t="shared" si="2"/>
        <v>2</v>
      </c>
      <c r="G234" s="173"/>
    </row>
    <row r="235" spans="1:8" x14ac:dyDescent="0.25">
      <c r="A235" s="17">
        <v>19</v>
      </c>
      <c r="B235" s="20" t="s">
        <v>50</v>
      </c>
      <c r="C235" s="88" t="s">
        <v>1071</v>
      </c>
      <c r="D235" s="20">
        <v>4</v>
      </c>
      <c r="E235" s="20">
        <v>4</v>
      </c>
      <c r="F235" s="20">
        <f t="shared" si="2"/>
        <v>0</v>
      </c>
      <c r="G235" s="173" t="s">
        <v>354</v>
      </c>
    </row>
    <row r="236" spans="1:8" x14ac:dyDescent="0.25">
      <c r="A236" s="71"/>
      <c r="B236" s="71" t="s">
        <v>51</v>
      </c>
      <c r="C236" s="90"/>
      <c r="D236" s="71"/>
      <c r="E236" s="71"/>
      <c r="F236" s="71"/>
      <c r="G236" s="174"/>
      <c r="H236" s="1" t="s">
        <v>207</v>
      </c>
    </row>
    <row r="237" spans="1:8" x14ac:dyDescent="0.25">
      <c r="A237" s="17">
        <v>19</v>
      </c>
      <c r="B237" s="20" t="s">
        <v>51</v>
      </c>
      <c r="C237" s="88" t="s">
        <v>116</v>
      </c>
      <c r="D237" s="20">
        <v>38</v>
      </c>
      <c r="E237" s="20">
        <v>38</v>
      </c>
      <c r="F237" s="20">
        <f t="shared" si="1"/>
        <v>0</v>
      </c>
      <c r="G237" s="173" t="s">
        <v>28</v>
      </c>
    </row>
    <row r="238" spans="1:8" x14ac:dyDescent="0.25">
      <c r="A238" s="17">
        <v>19</v>
      </c>
      <c r="B238" s="20" t="s">
        <v>51</v>
      </c>
      <c r="C238" s="88" t="s">
        <v>688</v>
      </c>
      <c r="D238" s="20">
        <v>4</v>
      </c>
      <c r="E238" s="20">
        <v>4</v>
      </c>
      <c r="F238" s="20">
        <f t="shared" si="1"/>
        <v>0</v>
      </c>
      <c r="G238" s="173"/>
    </row>
    <row r="239" spans="1:8" x14ac:dyDescent="0.25">
      <c r="A239" s="17">
        <v>19</v>
      </c>
      <c r="B239" s="20" t="s">
        <v>51</v>
      </c>
      <c r="C239" s="88" t="s">
        <v>398</v>
      </c>
      <c r="D239" s="20">
        <v>2</v>
      </c>
      <c r="E239" s="20">
        <v>2</v>
      </c>
      <c r="F239" s="20">
        <f t="shared" si="1"/>
        <v>0</v>
      </c>
      <c r="G239" s="173"/>
    </row>
    <row r="240" spans="1:8" x14ac:dyDescent="0.25">
      <c r="A240" s="17">
        <v>19</v>
      </c>
      <c r="B240" s="20" t="s">
        <v>51</v>
      </c>
      <c r="C240" s="88" t="s">
        <v>41</v>
      </c>
      <c r="D240" s="20">
        <v>46</v>
      </c>
      <c r="E240" s="20">
        <v>46</v>
      </c>
      <c r="F240" s="20">
        <f t="shared" si="1"/>
        <v>0</v>
      </c>
      <c r="G240" s="173" t="s">
        <v>179</v>
      </c>
      <c r="H240" s="1" t="s">
        <v>383</v>
      </c>
    </row>
    <row r="241" spans="1:8" x14ac:dyDescent="0.25">
      <c r="A241" s="17">
        <v>19</v>
      </c>
      <c r="B241" s="20" t="s">
        <v>51</v>
      </c>
      <c r="C241" s="88" t="s">
        <v>45</v>
      </c>
      <c r="D241" s="20">
        <v>4</v>
      </c>
      <c r="E241" s="20">
        <v>4</v>
      </c>
      <c r="F241" s="20">
        <f t="shared" si="1"/>
        <v>0</v>
      </c>
      <c r="G241" s="173"/>
    </row>
    <row r="242" spans="1:8" x14ac:dyDescent="0.25">
      <c r="A242" s="17">
        <v>19</v>
      </c>
      <c r="B242" s="20" t="s">
        <v>51</v>
      </c>
      <c r="C242" s="88" t="s">
        <v>990</v>
      </c>
      <c r="D242" s="20">
        <v>12</v>
      </c>
      <c r="E242" s="20">
        <v>12</v>
      </c>
      <c r="F242" s="20">
        <f t="shared" si="1"/>
        <v>0</v>
      </c>
      <c r="G242" s="173" t="s">
        <v>607</v>
      </c>
    </row>
    <row r="243" spans="1:8" x14ac:dyDescent="0.25">
      <c r="A243" s="17">
        <v>19</v>
      </c>
      <c r="B243" s="20" t="s">
        <v>51</v>
      </c>
      <c r="C243" s="88" t="s">
        <v>471</v>
      </c>
      <c r="D243" s="20">
        <v>4</v>
      </c>
      <c r="E243" s="20">
        <v>4</v>
      </c>
      <c r="F243" s="20">
        <f t="shared" si="1"/>
        <v>0</v>
      </c>
      <c r="G243" s="173" t="s">
        <v>159</v>
      </c>
    </row>
    <row r="244" spans="1:8" x14ac:dyDescent="0.25">
      <c r="A244" s="17">
        <v>19</v>
      </c>
      <c r="B244" s="20" t="s">
        <v>51</v>
      </c>
      <c r="C244" s="88" t="s">
        <v>177</v>
      </c>
      <c r="D244" s="20">
        <v>10</v>
      </c>
      <c r="E244" s="20">
        <v>10</v>
      </c>
      <c r="F244" s="20">
        <f t="shared" si="1"/>
        <v>0</v>
      </c>
      <c r="G244" s="173" t="s">
        <v>159</v>
      </c>
    </row>
    <row r="245" spans="1:8" x14ac:dyDescent="0.25">
      <c r="A245" s="17">
        <v>19</v>
      </c>
      <c r="B245" s="20" t="s">
        <v>51</v>
      </c>
      <c r="C245" s="88" t="s">
        <v>348</v>
      </c>
      <c r="D245" s="20">
        <v>2</v>
      </c>
      <c r="E245" s="20">
        <v>2</v>
      </c>
      <c r="F245" s="20">
        <f t="shared" si="1"/>
        <v>0</v>
      </c>
      <c r="G245" s="173" t="s">
        <v>28</v>
      </c>
    </row>
    <row r="246" spans="1:8" x14ac:dyDescent="0.25">
      <c r="A246" s="17">
        <v>19</v>
      </c>
      <c r="B246" s="20" t="s">
        <v>51</v>
      </c>
      <c r="C246" s="88" t="s">
        <v>960</v>
      </c>
      <c r="D246" s="20">
        <v>2</v>
      </c>
      <c r="E246" s="20">
        <v>2</v>
      </c>
      <c r="F246" s="20">
        <f t="shared" si="1"/>
        <v>0</v>
      </c>
      <c r="G246" s="173"/>
    </row>
    <row r="247" spans="1:8" x14ac:dyDescent="0.25">
      <c r="A247" s="17">
        <v>19</v>
      </c>
      <c r="B247" s="20" t="s">
        <v>51</v>
      </c>
      <c r="C247" s="88" t="s">
        <v>1049</v>
      </c>
      <c r="D247" s="20">
        <v>4</v>
      </c>
      <c r="E247" s="20">
        <v>4</v>
      </c>
      <c r="F247" s="20">
        <f t="shared" si="1"/>
        <v>0</v>
      </c>
      <c r="G247" s="173" t="s">
        <v>354</v>
      </c>
      <c r="H247" s="75">
        <v>2025</v>
      </c>
    </row>
    <row r="248" spans="1:8" x14ac:dyDescent="0.25">
      <c r="A248" s="71"/>
      <c r="B248" s="71" t="s">
        <v>91</v>
      </c>
      <c r="C248" s="90"/>
      <c r="D248" s="71"/>
      <c r="E248" s="71"/>
      <c r="F248" s="71"/>
      <c r="G248" s="174"/>
    </row>
    <row r="249" spans="1:8" x14ac:dyDescent="0.25">
      <c r="A249" s="17">
        <v>19</v>
      </c>
      <c r="B249" s="20" t="s">
        <v>91</v>
      </c>
      <c r="C249" s="88" t="s">
        <v>351</v>
      </c>
      <c r="D249" s="20">
        <v>2</v>
      </c>
      <c r="E249" s="20">
        <v>2</v>
      </c>
      <c r="F249" s="20">
        <f t="shared" si="1"/>
        <v>0</v>
      </c>
      <c r="G249" s="173"/>
    </row>
    <row r="250" spans="1:8" x14ac:dyDescent="0.25">
      <c r="A250" s="17">
        <v>19</v>
      </c>
      <c r="B250" s="20" t="s">
        <v>92</v>
      </c>
      <c r="C250" s="88" t="s">
        <v>575</v>
      </c>
      <c r="D250" s="20">
        <v>6</v>
      </c>
      <c r="E250" s="20"/>
      <c r="F250" s="20">
        <f t="shared" si="1"/>
        <v>6</v>
      </c>
      <c r="G250" s="173" t="s">
        <v>915</v>
      </c>
    </row>
    <row r="251" spans="1:8" x14ac:dyDescent="0.25">
      <c r="A251" s="17">
        <v>19</v>
      </c>
      <c r="B251" s="20" t="s">
        <v>92</v>
      </c>
      <c r="C251" s="88" t="s">
        <v>367</v>
      </c>
      <c r="D251" s="20">
        <v>8</v>
      </c>
      <c r="E251" s="20">
        <v>4</v>
      </c>
      <c r="F251" s="20">
        <f t="shared" si="1"/>
        <v>4</v>
      </c>
      <c r="G251" s="173" t="s">
        <v>159</v>
      </c>
    </row>
    <row r="252" spans="1:8" x14ac:dyDescent="0.25">
      <c r="A252" s="17">
        <v>19</v>
      </c>
      <c r="B252" s="20" t="s">
        <v>126</v>
      </c>
      <c r="C252" s="88" t="s">
        <v>229</v>
      </c>
      <c r="D252" s="20">
        <v>10</v>
      </c>
      <c r="E252" s="20">
        <v>10</v>
      </c>
      <c r="F252" s="20">
        <f t="shared" si="1"/>
        <v>0</v>
      </c>
      <c r="G252" s="173" t="s">
        <v>607</v>
      </c>
    </row>
    <row r="253" spans="1:8" x14ac:dyDescent="0.25">
      <c r="A253" s="17">
        <v>19</v>
      </c>
      <c r="B253" s="20" t="s">
        <v>126</v>
      </c>
      <c r="C253" s="88" t="s">
        <v>680</v>
      </c>
      <c r="D253" s="20">
        <v>12</v>
      </c>
      <c r="E253" s="20">
        <v>12</v>
      </c>
      <c r="F253" s="20">
        <f t="shared" si="1"/>
        <v>0</v>
      </c>
      <c r="G253" s="173" t="s">
        <v>159</v>
      </c>
    </row>
    <row r="254" spans="1:8" x14ac:dyDescent="0.25">
      <c r="A254" s="17">
        <v>19</v>
      </c>
      <c r="B254" s="20" t="s">
        <v>126</v>
      </c>
      <c r="C254" s="88" t="s">
        <v>420</v>
      </c>
      <c r="D254" s="20">
        <v>2</v>
      </c>
      <c r="E254" s="20">
        <v>2</v>
      </c>
      <c r="F254" s="20">
        <f t="shared" si="1"/>
        <v>0</v>
      </c>
      <c r="G254" s="173"/>
      <c r="H254" s="1" t="s">
        <v>375</v>
      </c>
    </row>
    <row r="255" spans="1:8" x14ac:dyDescent="0.25">
      <c r="A255" s="17">
        <v>19</v>
      </c>
      <c r="B255" s="20" t="s">
        <v>126</v>
      </c>
      <c r="C255" s="88" t="s">
        <v>480</v>
      </c>
      <c r="D255" s="20">
        <v>4</v>
      </c>
      <c r="E255" s="20">
        <v>4</v>
      </c>
      <c r="F255" s="20">
        <f t="shared" si="1"/>
        <v>0</v>
      </c>
      <c r="G255" s="173" t="s">
        <v>159</v>
      </c>
    </row>
    <row r="256" spans="1:8" x14ac:dyDescent="0.25">
      <c r="A256" s="71"/>
      <c r="B256" s="71" t="s">
        <v>53</v>
      </c>
      <c r="C256" s="90"/>
      <c r="D256" s="71"/>
      <c r="E256" s="71"/>
      <c r="F256" s="71"/>
      <c r="G256" s="174"/>
    </row>
    <row r="257" spans="1:8" x14ac:dyDescent="0.25">
      <c r="A257" s="17">
        <v>19</v>
      </c>
      <c r="B257" s="20" t="s">
        <v>96</v>
      </c>
      <c r="C257" s="88" t="s">
        <v>506</v>
      </c>
      <c r="D257" s="20">
        <v>14</v>
      </c>
      <c r="E257" s="20">
        <v>14</v>
      </c>
      <c r="F257" s="20">
        <f t="shared" si="1"/>
        <v>0</v>
      </c>
      <c r="G257" s="173"/>
    </row>
    <row r="258" spans="1:8" x14ac:dyDescent="0.25">
      <c r="A258" s="17">
        <v>19</v>
      </c>
      <c r="B258" s="20" t="s">
        <v>96</v>
      </c>
      <c r="C258" s="88" t="s">
        <v>106</v>
      </c>
      <c r="D258" s="20">
        <v>6</v>
      </c>
      <c r="E258" s="20">
        <v>6</v>
      </c>
      <c r="F258" s="20">
        <f t="shared" si="1"/>
        <v>0</v>
      </c>
      <c r="G258" s="173"/>
    </row>
    <row r="259" spans="1:8" x14ac:dyDescent="0.25">
      <c r="A259" s="17">
        <v>19</v>
      </c>
      <c r="B259" s="20" t="s">
        <v>96</v>
      </c>
      <c r="C259" s="88" t="s">
        <v>675</v>
      </c>
      <c r="D259" s="20">
        <v>4</v>
      </c>
      <c r="E259" s="20">
        <v>4</v>
      </c>
      <c r="F259" s="20">
        <f t="shared" si="1"/>
        <v>0</v>
      </c>
      <c r="G259" s="173"/>
    </row>
    <row r="260" spans="1:8" x14ac:dyDescent="0.25">
      <c r="A260" s="17">
        <v>19</v>
      </c>
      <c r="B260" s="20" t="s">
        <v>96</v>
      </c>
      <c r="C260" s="88" t="s">
        <v>222</v>
      </c>
      <c r="D260" s="20">
        <v>2</v>
      </c>
      <c r="E260" s="20">
        <v>2</v>
      </c>
      <c r="F260" s="20">
        <f t="shared" si="1"/>
        <v>0</v>
      </c>
      <c r="G260" s="173"/>
    </row>
    <row r="261" spans="1:8" x14ac:dyDescent="0.25">
      <c r="A261" s="17">
        <v>19</v>
      </c>
      <c r="B261" s="20" t="s">
        <v>53</v>
      </c>
      <c r="C261" s="88" t="s">
        <v>169</v>
      </c>
      <c r="D261" s="20">
        <v>4</v>
      </c>
      <c r="E261" s="20">
        <v>4</v>
      </c>
      <c r="F261" s="20">
        <f t="shared" si="1"/>
        <v>0</v>
      </c>
      <c r="G261" s="173"/>
    </row>
    <row r="262" spans="1:8" x14ac:dyDescent="0.25">
      <c r="A262" s="17">
        <v>19</v>
      </c>
      <c r="B262" s="20" t="s">
        <v>53</v>
      </c>
      <c r="C262" s="88" t="s">
        <v>323</v>
      </c>
      <c r="D262" s="20">
        <v>2</v>
      </c>
      <c r="E262" s="20">
        <v>2</v>
      </c>
      <c r="F262" s="20">
        <f t="shared" si="1"/>
        <v>0</v>
      </c>
      <c r="G262" s="173">
        <v>2015</v>
      </c>
    </row>
    <row r="263" spans="1:8" x14ac:dyDescent="0.25">
      <c r="A263" s="17">
        <v>19</v>
      </c>
      <c r="B263" s="20" t="s">
        <v>53</v>
      </c>
      <c r="C263" s="88" t="s">
        <v>98</v>
      </c>
      <c r="D263" s="20">
        <v>4</v>
      </c>
      <c r="E263" s="20">
        <v>4</v>
      </c>
      <c r="F263" s="20">
        <f t="shared" si="1"/>
        <v>0</v>
      </c>
      <c r="G263" s="173" t="s">
        <v>159</v>
      </c>
    </row>
    <row r="264" spans="1:8" x14ac:dyDescent="0.25">
      <c r="A264" s="17">
        <v>19</v>
      </c>
      <c r="B264" s="20" t="s">
        <v>174</v>
      </c>
      <c r="C264" s="88" t="s">
        <v>54</v>
      </c>
      <c r="D264" s="20">
        <v>4</v>
      </c>
      <c r="E264" s="20">
        <v>2</v>
      </c>
      <c r="F264" s="20">
        <f t="shared" si="1"/>
        <v>2</v>
      </c>
      <c r="G264" s="173"/>
    </row>
    <row r="265" spans="1:8" x14ac:dyDescent="0.25">
      <c r="A265" s="17">
        <v>19</v>
      </c>
      <c r="B265" s="20" t="s">
        <v>59</v>
      </c>
      <c r="C265" s="88" t="s">
        <v>221</v>
      </c>
      <c r="D265" s="20">
        <v>4</v>
      </c>
      <c r="E265" s="20">
        <v>2</v>
      </c>
      <c r="F265" s="20">
        <f t="shared" si="1"/>
        <v>2</v>
      </c>
      <c r="G265" s="173" t="s">
        <v>159</v>
      </c>
    </row>
    <row r="266" spans="1:8" x14ac:dyDescent="0.25">
      <c r="A266" s="17">
        <v>19</v>
      </c>
      <c r="B266" s="20" t="s">
        <v>59</v>
      </c>
      <c r="C266" s="88" t="s">
        <v>790</v>
      </c>
      <c r="D266" s="20">
        <v>4</v>
      </c>
      <c r="E266" s="20">
        <v>2</v>
      </c>
      <c r="F266" s="20">
        <f t="shared" si="1"/>
        <v>2</v>
      </c>
      <c r="G266" s="173" t="s">
        <v>159</v>
      </c>
    </row>
    <row r="267" spans="1:8" x14ac:dyDescent="0.25">
      <c r="A267" s="17">
        <v>19</v>
      </c>
      <c r="B267" s="20" t="s">
        <v>59</v>
      </c>
      <c r="C267" s="88" t="s">
        <v>40</v>
      </c>
      <c r="D267" s="20">
        <v>4</v>
      </c>
      <c r="E267" s="20">
        <v>4</v>
      </c>
      <c r="F267" s="20">
        <f t="shared" si="1"/>
        <v>0</v>
      </c>
      <c r="G267" s="173"/>
    </row>
    <row r="268" spans="1:8" x14ac:dyDescent="0.25">
      <c r="A268" s="17">
        <v>19</v>
      </c>
      <c r="B268" s="20" t="s">
        <v>59</v>
      </c>
      <c r="C268" s="88" t="s">
        <v>575</v>
      </c>
      <c r="D268" s="20">
        <v>6</v>
      </c>
      <c r="E268" s="20">
        <v>4</v>
      </c>
      <c r="F268" s="20">
        <f t="shared" si="1"/>
        <v>2</v>
      </c>
      <c r="G268" s="173" t="s">
        <v>368</v>
      </c>
    </row>
    <row r="269" spans="1:8" x14ac:dyDescent="0.25">
      <c r="A269" s="17">
        <v>19</v>
      </c>
      <c r="B269" s="20" t="s">
        <v>93</v>
      </c>
      <c r="C269" s="88" t="s">
        <v>622</v>
      </c>
      <c r="D269" s="20">
        <v>4</v>
      </c>
      <c r="E269" s="20">
        <v>2</v>
      </c>
      <c r="F269" s="20">
        <f t="shared" si="1"/>
        <v>2</v>
      </c>
      <c r="G269" s="173"/>
    </row>
    <row r="270" spans="1:8" x14ac:dyDescent="0.25">
      <c r="A270" s="17">
        <v>19</v>
      </c>
      <c r="B270" s="20" t="s">
        <v>93</v>
      </c>
      <c r="C270" s="88" t="s">
        <v>80</v>
      </c>
      <c r="D270" s="20">
        <v>4</v>
      </c>
      <c r="E270" s="20">
        <v>4</v>
      </c>
      <c r="F270" s="20">
        <f t="shared" si="1"/>
        <v>0</v>
      </c>
      <c r="G270" s="173"/>
    </row>
    <row r="271" spans="1:8" x14ac:dyDescent="0.25">
      <c r="A271" s="17">
        <v>19</v>
      </c>
      <c r="B271" s="20" t="s">
        <v>60</v>
      </c>
      <c r="C271" s="89" t="s">
        <v>958</v>
      </c>
      <c r="D271" s="20">
        <v>4</v>
      </c>
      <c r="E271" s="20">
        <v>2</v>
      </c>
      <c r="F271" s="20">
        <f t="shared" si="1"/>
        <v>2</v>
      </c>
      <c r="G271" s="173" t="s">
        <v>607</v>
      </c>
      <c r="H271" s="1" t="s">
        <v>959</v>
      </c>
    </row>
    <row r="272" spans="1:8" x14ac:dyDescent="0.25">
      <c r="A272" s="17">
        <v>19</v>
      </c>
      <c r="B272" s="20" t="s">
        <v>62</v>
      </c>
      <c r="C272" s="89" t="s">
        <v>106</v>
      </c>
      <c r="D272" s="20">
        <v>4</v>
      </c>
      <c r="E272" s="20">
        <v>4</v>
      </c>
      <c r="F272" s="20">
        <f t="shared" si="1"/>
        <v>0</v>
      </c>
      <c r="G272" s="173" t="s">
        <v>159</v>
      </c>
    </row>
    <row r="273" spans="1:9" x14ac:dyDescent="0.25">
      <c r="A273" s="17">
        <v>19</v>
      </c>
      <c r="B273" s="20" t="s">
        <v>62</v>
      </c>
      <c r="C273" s="89" t="s">
        <v>117</v>
      </c>
      <c r="D273" s="20">
        <v>2</v>
      </c>
      <c r="E273" s="20">
        <v>2</v>
      </c>
      <c r="F273" s="20">
        <f t="shared" si="1"/>
        <v>0</v>
      </c>
      <c r="G273" s="173"/>
    </row>
    <row r="274" spans="1:9" x14ac:dyDescent="0.25">
      <c r="A274" s="17">
        <v>19</v>
      </c>
      <c r="B274" s="20" t="s">
        <v>62</v>
      </c>
      <c r="C274" s="89" t="s">
        <v>115</v>
      </c>
      <c r="D274" s="20">
        <v>2</v>
      </c>
      <c r="E274" s="20">
        <v>2</v>
      </c>
      <c r="F274" s="20">
        <f t="shared" si="1"/>
        <v>0</v>
      </c>
      <c r="G274" s="173"/>
    </row>
    <row r="275" spans="1:9" x14ac:dyDescent="0.25">
      <c r="A275" s="17">
        <v>19</v>
      </c>
      <c r="B275" s="20" t="s">
        <v>62</v>
      </c>
      <c r="C275" s="89" t="s">
        <v>80</v>
      </c>
      <c r="D275" s="20">
        <v>4</v>
      </c>
      <c r="E275" s="20">
        <v>2</v>
      </c>
      <c r="F275" s="20">
        <f t="shared" si="1"/>
        <v>2</v>
      </c>
      <c r="G275" s="173" t="s">
        <v>159</v>
      </c>
    </row>
    <row r="276" spans="1:9" x14ac:dyDescent="0.25">
      <c r="A276" s="17">
        <v>19</v>
      </c>
      <c r="B276" s="20" t="s">
        <v>326</v>
      </c>
      <c r="C276" s="89" t="s">
        <v>396</v>
      </c>
      <c r="D276" s="20">
        <v>2</v>
      </c>
      <c r="E276" s="20"/>
      <c r="F276" s="20">
        <f t="shared" si="1"/>
        <v>2</v>
      </c>
      <c r="G276" s="173"/>
    </row>
    <row r="277" spans="1:9" s="79" customFormat="1" ht="16.5" thickBot="1" x14ac:dyDescent="0.3">
      <c r="A277" s="81"/>
      <c r="B277" s="81"/>
      <c r="C277" s="82" t="s">
        <v>47</v>
      </c>
      <c r="D277" s="83">
        <f>SUM(D4:D276)</f>
        <v>3134</v>
      </c>
      <c r="E277" s="137">
        <f>SUM(E4:E270)</f>
        <v>2542</v>
      </c>
      <c r="F277" s="71">
        <f t="shared" si="1"/>
        <v>592</v>
      </c>
      <c r="G277" s="175"/>
      <c r="H277" s="87"/>
      <c r="I277" s="87"/>
    </row>
    <row r="282" spans="1:9" x14ac:dyDescent="0.25">
      <c r="I282" s="33"/>
    </row>
  </sheetData>
  <sortState xmlns:xlrd2="http://schemas.microsoft.com/office/spreadsheetml/2017/richdata2" ref="A2:G58">
    <sortCondition ref="B2"/>
  </sortState>
  <pageMargins left="0.7" right="0.7" top="0.75" bottom="0.75" header="0.3" footer="0.3"/>
  <pageSetup paperSize="9" orientation="portrait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14"/>
  <sheetViews>
    <sheetView topLeftCell="A196" zoomScale="160" zoomScaleNormal="160" workbookViewId="0">
      <selection activeCell="E205" sqref="E205"/>
    </sheetView>
  </sheetViews>
  <sheetFormatPr defaultRowHeight="15" x14ac:dyDescent="0.25"/>
  <cols>
    <col min="1" max="1" width="4.140625" customWidth="1"/>
    <col min="2" max="2" width="9.5703125" customWidth="1"/>
    <col min="3" max="3" width="28" customWidth="1"/>
    <col min="4" max="5" width="7" customWidth="1"/>
    <col min="6" max="6" width="6.5703125" customWidth="1"/>
    <col min="7" max="7" width="9.7109375" customWidth="1"/>
  </cols>
  <sheetData>
    <row r="1" spans="1:8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8" x14ac:dyDescent="0.25">
      <c r="A2" s="53">
        <v>20</v>
      </c>
      <c r="B2" s="53" t="s">
        <v>110</v>
      </c>
      <c r="C2" s="47" t="s">
        <v>711</v>
      </c>
      <c r="D2" s="53">
        <v>6</v>
      </c>
      <c r="E2" s="53">
        <v>4</v>
      </c>
      <c r="F2" s="53">
        <f t="shared" ref="F2:F213" si="0">D2-E2</f>
        <v>2</v>
      </c>
      <c r="G2" s="53"/>
    </row>
    <row r="3" spans="1:8" x14ac:dyDescent="0.25">
      <c r="A3" s="53">
        <v>20</v>
      </c>
      <c r="B3" s="53" t="s">
        <v>49</v>
      </c>
      <c r="C3" s="47" t="s">
        <v>372</v>
      </c>
      <c r="D3" s="53">
        <v>2</v>
      </c>
      <c r="E3" s="53">
        <v>2</v>
      </c>
      <c r="F3" s="53">
        <f>D3-E3</f>
        <v>0</v>
      </c>
      <c r="G3" s="53"/>
    </row>
    <row r="4" spans="1:8" x14ac:dyDescent="0.25">
      <c r="A4" s="10">
        <v>20</v>
      </c>
      <c r="B4" s="10" t="s">
        <v>49</v>
      </c>
      <c r="C4" s="48" t="s">
        <v>48</v>
      </c>
      <c r="D4" s="10">
        <v>2</v>
      </c>
      <c r="E4" s="10">
        <v>2</v>
      </c>
      <c r="F4" s="10">
        <f t="shared" si="0"/>
        <v>0</v>
      </c>
      <c r="G4" s="10" t="s">
        <v>28</v>
      </c>
    </row>
    <row r="5" spans="1:8" x14ac:dyDescent="0.25">
      <c r="A5" s="10">
        <v>20</v>
      </c>
      <c r="B5" s="10" t="s">
        <v>388</v>
      </c>
      <c r="C5" s="48" t="s">
        <v>236</v>
      </c>
      <c r="D5" s="10">
        <v>2</v>
      </c>
      <c r="E5" s="10">
        <v>2</v>
      </c>
      <c r="F5" s="10">
        <f t="shared" si="0"/>
        <v>0</v>
      </c>
      <c r="G5" s="10" t="s">
        <v>389</v>
      </c>
    </row>
    <row r="6" spans="1:8" x14ac:dyDescent="0.25">
      <c r="A6" s="76"/>
      <c r="B6" s="76" t="s">
        <v>21</v>
      </c>
      <c r="C6" s="76"/>
      <c r="D6" s="76"/>
      <c r="E6" s="76"/>
      <c r="F6" s="76"/>
      <c r="G6" s="76"/>
    </row>
    <row r="7" spans="1:8" x14ac:dyDescent="0.25">
      <c r="A7" s="10">
        <v>20</v>
      </c>
      <c r="B7" s="10" t="s">
        <v>39</v>
      </c>
      <c r="C7" s="48" t="s">
        <v>102</v>
      </c>
      <c r="D7" s="10">
        <v>10</v>
      </c>
      <c r="E7" s="10">
        <v>2</v>
      </c>
      <c r="F7" s="10">
        <f t="shared" si="0"/>
        <v>8</v>
      </c>
      <c r="G7" s="10" t="s">
        <v>1037</v>
      </c>
    </row>
    <row r="8" spans="1:8" x14ac:dyDescent="0.25">
      <c r="A8" s="10">
        <v>20</v>
      </c>
      <c r="B8" s="10" t="s">
        <v>572</v>
      </c>
      <c r="C8" s="48" t="s">
        <v>573</v>
      </c>
      <c r="D8" s="10">
        <v>12</v>
      </c>
      <c r="E8" s="10">
        <v>12</v>
      </c>
      <c r="F8" s="10">
        <f t="shared" si="0"/>
        <v>0</v>
      </c>
      <c r="G8" s="10"/>
    </row>
    <row r="9" spans="1:8" x14ac:dyDescent="0.25">
      <c r="A9" s="14">
        <v>20</v>
      </c>
      <c r="B9" s="14" t="s">
        <v>14</v>
      </c>
      <c r="C9" s="48" t="s">
        <v>357</v>
      </c>
      <c r="D9" s="14">
        <v>52</v>
      </c>
      <c r="E9" s="14">
        <v>48</v>
      </c>
      <c r="F9" s="10">
        <f t="shared" si="0"/>
        <v>4</v>
      </c>
      <c r="G9" s="14"/>
    </row>
    <row r="10" spans="1:8" x14ac:dyDescent="0.25">
      <c r="A10" s="14">
        <v>20</v>
      </c>
      <c r="B10" s="14" t="s">
        <v>14</v>
      </c>
      <c r="C10" s="48" t="s">
        <v>432</v>
      </c>
      <c r="D10" s="14">
        <v>8</v>
      </c>
      <c r="E10" s="14">
        <v>4</v>
      </c>
      <c r="F10" s="10">
        <f t="shared" si="0"/>
        <v>4</v>
      </c>
      <c r="G10" s="14" t="s">
        <v>159</v>
      </c>
      <c r="H10" t="s">
        <v>458</v>
      </c>
    </row>
    <row r="11" spans="1:8" x14ac:dyDescent="0.25">
      <c r="A11" s="14">
        <v>20</v>
      </c>
      <c r="B11" s="14" t="s">
        <v>14</v>
      </c>
      <c r="C11" s="48" t="s">
        <v>363</v>
      </c>
      <c r="D11" s="14">
        <v>12</v>
      </c>
      <c r="E11" s="14">
        <v>4</v>
      </c>
      <c r="F11" s="10">
        <f t="shared" si="0"/>
        <v>8</v>
      </c>
      <c r="G11" s="14" t="s">
        <v>744</v>
      </c>
    </row>
    <row r="12" spans="1:8" x14ac:dyDescent="0.25">
      <c r="A12" s="14">
        <v>20</v>
      </c>
      <c r="B12" s="14" t="s">
        <v>14</v>
      </c>
      <c r="C12" s="48" t="s">
        <v>531</v>
      </c>
      <c r="D12" s="14">
        <v>2</v>
      </c>
      <c r="E12" s="14"/>
      <c r="F12" s="10">
        <f t="shared" si="0"/>
        <v>2</v>
      </c>
      <c r="G12" s="14" t="s">
        <v>159</v>
      </c>
    </row>
    <row r="13" spans="1:8" x14ac:dyDescent="0.25">
      <c r="A13" s="14">
        <v>20</v>
      </c>
      <c r="B13" s="14" t="s">
        <v>14</v>
      </c>
      <c r="C13" s="48" t="s">
        <v>156</v>
      </c>
      <c r="D13" s="14">
        <v>48</v>
      </c>
      <c r="E13" s="14">
        <v>42</v>
      </c>
      <c r="F13" s="10">
        <f t="shared" si="0"/>
        <v>6</v>
      </c>
      <c r="G13" s="14" t="s">
        <v>159</v>
      </c>
    </row>
    <row r="14" spans="1:8" x14ac:dyDescent="0.25">
      <c r="A14" s="14">
        <v>20</v>
      </c>
      <c r="B14" s="14" t="s">
        <v>21</v>
      </c>
      <c r="C14" s="48" t="s">
        <v>894</v>
      </c>
      <c r="D14" s="14">
        <v>12</v>
      </c>
      <c r="E14" s="14">
        <v>8</v>
      </c>
      <c r="F14" s="10">
        <f t="shared" si="0"/>
        <v>4</v>
      </c>
      <c r="G14" s="14"/>
    </row>
    <row r="15" spans="1:8" x14ac:dyDescent="0.25">
      <c r="A15" s="76"/>
      <c r="B15" s="76" t="s">
        <v>44</v>
      </c>
      <c r="C15" s="76"/>
      <c r="D15" s="76"/>
      <c r="E15" s="76"/>
      <c r="F15" s="76"/>
      <c r="G15" s="76"/>
    </row>
    <row r="16" spans="1:8" x14ac:dyDescent="0.25">
      <c r="A16" s="14">
        <v>20</v>
      </c>
      <c r="B16" s="14" t="s">
        <v>44</v>
      </c>
      <c r="C16" s="48" t="s">
        <v>488</v>
      </c>
      <c r="D16" s="14">
        <v>50</v>
      </c>
      <c r="E16" s="14">
        <v>44</v>
      </c>
      <c r="F16" s="14">
        <f t="shared" si="0"/>
        <v>6</v>
      </c>
      <c r="G16" s="14" t="s">
        <v>178</v>
      </c>
      <c r="H16" t="s">
        <v>844</v>
      </c>
    </row>
    <row r="17" spans="1:8" x14ac:dyDescent="0.25">
      <c r="A17" s="14">
        <v>20</v>
      </c>
      <c r="B17" s="14" t="s">
        <v>44</v>
      </c>
      <c r="C17" s="48" t="s">
        <v>215</v>
      </c>
      <c r="D17" s="14">
        <v>8</v>
      </c>
      <c r="E17" s="14">
        <v>8</v>
      </c>
      <c r="F17" s="14">
        <f t="shared" si="0"/>
        <v>0</v>
      </c>
      <c r="G17" s="14"/>
    </row>
    <row r="18" spans="1:8" x14ac:dyDescent="0.25">
      <c r="A18" s="14">
        <v>20</v>
      </c>
      <c r="B18" s="14" t="s">
        <v>44</v>
      </c>
      <c r="C18" s="48" t="s">
        <v>371</v>
      </c>
      <c r="D18" s="14">
        <v>2</v>
      </c>
      <c r="E18" s="14">
        <v>2</v>
      </c>
      <c r="F18" s="14">
        <f t="shared" si="0"/>
        <v>0</v>
      </c>
      <c r="G18" s="14"/>
    </row>
    <row r="19" spans="1:8" x14ac:dyDescent="0.25">
      <c r="A19" s="14">
        <v>20</v>
      </c>
      <c r="B19" s="14" t="s">
        <v>44</v>
      </c>
      <c r="C19" s="48" t="s">
        <v>502</v>
      </c>
      <c r="D19" s="14">
        <v>4</v>
      </c>
      <c r="E19" s="14">
        <v>4</v>
      </c>
      <c r="F19" s="14">
        <f t="shared" si="0"/>
        <v>0</v>
      </c>
      <c r="G19" s="14" t="s">
        <v>159</v>
      </c>
    </row>
    <row r="20" spans="1:8" x14ac:dyDescent="0.25">
      <c r="A20" s="14">
        <v>20</v>
      </c>
      <c r="B20" s="14" t="s">
        <v>44</v>
      </c>
      <c r="C20" s="48" t="s">
        <v>122</v>
      </c>
      <c r="D20" s="14">
        <v>36</v>
      </c>
      <c r="E20" s="14">
        <v>32</v>
      </c>
      <c r="F20" s="14">
        <f t="shared" si="0"/>
        <v>4</v>
      </c>
      <c r="G20" s="14" t="s">
        <v>172</v>
      </c>
    </row>
    <row r="21" spans="1:8" x14ac:dyDescent="0.25">
      <c r="A21" s="14">
        <v>20</v>
      </c>
      <c r="B21" s="14" t="s">
        <v>44</v>
      </c>
      <c r="C21" s="48" t="s">
        <v>349</v>
      </c>
      <c r="D21" s="14">
        <v>12</v>
      </c>
      <c r="E21" s="14">
        <v>12</v>
      </c>
      <c r="F21" s="14">
        <f t="shared" si="0"/>
        <v>0</v>
      </c>
      <c r="G21" s="14" t="s">
        <v>159</v>
      </c>
    </row>
    <row r="22" spans="1:8" x14ac:dyDescent="0.25">
      <c r="A22" s="14">
        <v>20</v>
      </c>
      <c r="B22" s="14" t="s">
        <v>44</v>
      </c>
      <c r="C22" s="48" t="s">
        <v>230</v>
      </c>
      <c r="D22" s="14">
        <v>6</v>
      </c>
      <c r="E22" s="14">
        <v>6</v>
      </c>
      <c r="F22" s="14">
        <f t="shared" si="0"/>
        <v>0</v>
      </c>
      <c r="G22" s="14" t="s">
        <v>159</v>
      </c>
    </row>
    <row r="23" spans="1:8" x14ac:dyDescent="0.25">
      <c r="A23" s="14">
        <v>20</v>
      </c>
      <c r="B23" s="14" t="s">
        <v>44</v>
      </c>
      <c r="C23" s="48" t="s">
        <v>70</v>
      </c>
      <c r="D23" s="14">
        <v>2</v>
      </c>
      <c r="E23" s="14">
        <v>2</v>
      </c>
      <c r="F23" s="14">
        <f t="shared" si="0"/>
        <v>0</v>
      </c>
      <c r="G23" s="14" t="s">
        <v>159</v>
      </c>
    </row>
    <row r="24" spans="1:8" x14ac:dyDescent="0.25">
      <c r="A24" s="14">
        <v>20</v>
      </c>
      <c r="B24" s="14" t="s">
        <v>44</v>
      </c>
      <c r="C24" s="48" t="s">
        <v>386</v>
      </c>
      <c r="D24" s="14">
        <v>12</v>
      </c>
      <c r="E24" s="14">
        <v>12</v>
      </c>
      <c r="F24" s="14">
        <f t="shared" si="0"/>
        <v>0</v>
      </c>
      <c r="G24" s="14" t="s">
        <v>159</v>
      </c>
    </row>
    <row r="25" spans="1:8" x14ac:dyDescent="0.25">
      <c r="A25" s="14">
        <v>20</v>
      </c>
      <c r="B25" s="14" t="s">
        <v>44</v>
      </c>
      <c r="C25" s="48" t="s">
        <v>48</v>
      </c>
      <c r="D25" s="14">
        <v>12</v>
      </c>
      <c r="E25" s="14">
        <v>12</v>
      </c>
      <c r="F25" s="14">
        <f t="shared" si="0"/>
        <v>0</v>
      </c>
      <c r="G25" s="10" t="s">
        <v>436</v>
      </c>
      <c r="H25" t="s">
        <v>207</v>
      </c>
    </row>
    <row r="26" spans="1:8" x14ac:dyDescent="0.25">
      <c r="A26" s="14">
        <v>20</v>
      </c>
      <c r="B26" s="14" t="s">
        <v>44</v>
      </c>
      <c r="C26" s="48" t="s">
        <v>877</v>
      </c>
      <c r="D26" s="14">
        <v>4</v>
      </c>
      <c r="E26" s="14">
        <v>4</v>
      </c>
      <c r="F26" s="14">
        <f t="shared" si="0"/>
        <v>0</v>
      </c>
      <c r="G26" s="10" t="s">
        <v>354</v>
      </c>
    </row>
    <row r="27" spans="1:8" x14ac:dyDescent="0.25">
      <c r="A27" s="76"/>
      <c r="B27" s="76" t="s">
        <v>33</v>
      </c>
      <c r="C27" s="76" t="s">
        <v>207</v>
      </c>
      <c r="D27" s="76"/>
      <c r="E27" s="76"/>
      <c r="F27" s="76"/>
      <c r="G27" s="76"/>
    </row>
    <row r="28" spans="1:8" x14ac:dyDescent="0.25">
      <c r="A28" s="14">
        <v>20</v>
      </c>
      <c r="B28" s="14" t="s">
        <v>33</v>
      </c>
      <c r="C28" s="48" t="s">
        <v>285</v>
      </c>
      <c r="D28" s="14">
        <v>14</v>
      </c>
      <c r="E28" s="14">
        <v>10</v>
      </c>
      <c r="F28" s="14">
        <f t="shared" si="0"/>
        <v>4</v>
      </c>
      <c r="G28" s="10" t="s">
        <v>159</v>
      </c>
      <c r="H28" t="s">
        <v>305</v>
      </c>
    </row>
    <row r="29" spans="1:8" x14ac:dyDescent="0.25">
      <c r="A29" s="14">
        <v>20</v>
      </c>
      <c r="B29" s="14" t="s">
        <v>33</v>
      </c>
      <c r="C29" s="48" t="s">
        <v>45</v>
      </c>
      <c r="D29" s="14">
        <v>14</v>
      </c>
      <c r="E29" s="14">
        <v>14</v>
      </c>
      <c r="F29" s="14">
        <f t="shared" si="0"/>
        <v>0</v>
      </c>
      <c r="G29" s="10" t="s">
        <v>159</v>
      </c>
    </row>
    <row r="30" spans="1:8" x14ac:dyDescent="0.25">
      <c r="A30" s="14">
        <v>20</v>
      </c>
      <c r="B30" s="14" t="s">
        <v>33</v>
      </c>
      <c r="C30" s="48" t="s">
        <v>566</v>
      </c>
      <c r="D30" s="14">
        <v>10</v>
      </c>
      <c r="E30" s="14">
        <v>10</v>
      </c>
      <c r="F30" s="14">
        <f t="shared" si="0"/>
        <v>0</v>
      </c>
      <c r="G30" s="10" t="s">
        <v>159</v>
      </c>
    </row>
    <row r="31" spans="1:8" x14ac:dyDescent="0.25">
      <c r="A31" s="14">
        <v>20</v>
      </c>
      <c r="B31" s="14" t="s">
        <v>33</v>
      </c>
      <c r="C31" s="48" t="s">
        <v>381</v>
      </c>
      <c r="D31" s="14">
        <v>2</v>
      </c>
      <c r="E31" s="14">
        <v>2</v>
      </c>
      <c r="F31" s="14">
        <f t="shared" si="0"/>
        <v>0</v>
      </c>
      <c r="G31" s="10">
        <v>2020</v>
      </c>
    </row>
    <row r="32" spans="1:8" x14ac:dyDescent="0.25">
      <c r="A32" s="14">
        <v>20</v>
      </c>
      <c r="B32" s="14" t="s">
        <v>33</v>
      </c>
      <c r="C32" s="48" t="s">
        <v>649</v>
      </c>
      <c r="D32" s="14">
        <v>4</v>
      </c>
      <c r="E32" s="14"/>
      <c r="F32" s="14">
        <f t="shared" si="0"/>
        <v>4</v>
      </c>
      <c r="G32" s="10" t="s">
        <v>159</v>
      </c>
    </row>
    <row r="33" spans="1:7" x14ac:dyDescent="0.25">
      <c r="A33" s="14">
        <v>20</v>
      </c>
      <c r="B33" s="14" t="s">
        <v>33</v>
      </c>
      <c r="C33" s="48" t="s">
        <v>608</v>
      </c>
      <c r="D33" s="14">
        <v>2</v>
      </c>
      <c r="E33" s="14"/>
      <c r="F33" s="14">
        <f t="shared" si="0"/>
        <v>2</v>
      </c>
      <c r="G33" s="10" t="s">
        <v>607</v>
      </c>
    </row>
    <row r="34" spans="1:7" x14ac:dyDescent="0.25">
      <c r="A34" s="14">
        <v>20</v>
      </c>
      <c r="B34" s="14" t="s">
        <v>33</v>
      </c>
      <c r="C34" s="48" t="s">
        <v>457</v>
      </c>
      <c r="D34" s="14">
        <v>18</v>
      </c>
      <c r="E34" s="14">
        <v>16</v>
      </c>
      <c r="F34" s="14">
        <f t="shared" si="0"/>
        <v>2</v>
      </c>
      <c r="G34" s="10" t="s">
        <v>792</v>
      </c>
    </row>
    <row r="35" spans="1:7" x14ac:dyDescent="0.25">
      <c r="A35" s="14">
        <v>20</v>
      </c>
      <c r="B35" s="14" t="s">
        <v>33</v>
      </c>
      <c r="C35" s="48" t="s">
        <v>656</v>
      </c>
      <c r="D35" s="14">
        <v>18</v>
      </c>
      <c r="E35" s="14">
        <v>18</v>
      </c>
      <c r="F35" s="14">
        <f t="shared" si="0"/>
        <v>0</v>
      </c>
      <c r="G35" s="10" t="s">
        <v>159</v>
      </c>
    </row>
    <row r="36" spans="1:7" x14ac:dyDescent="0.25">
      <c r="A36" s="14">
        <v>20</v>
      </c>
      <c r="B36" s="14" t="s">
        <v>33</v>
      </c>
      <c r="C36" s="48" t="s">
        <v>527</v>
      </c>
      <c r="D36" s="14">
        <v>4</v>
      </c>
      <c r="E36" s="14"/>
      <c r="F36" s="14">
        <f t="shared" si="0"/>
        <v>4</v>
      </c>
      <c r="G36" s="10" t="s">
        <v>528</v>
      </c>
    </row>
    <row r="37" spans="1:7" x14ac:dyDescent="0.25">
      <c r="A37" s="14">
        <v>20</v>
      </c>
      <c r="B37" s="14" t="s">
        <v>33</v>
      </c>
      <c r="C37" s="48" t="s">
        <v>361</v>
      </c>
      <c r="D37" s="14">
        <v>10</v>
      </c>
      <c r="E37" s="14">
        <v>8</v>
      </c>
      <c r="F37" s="14">
        <f t="shared" si="0"/>
        <v>2</v>
      </c>
      <c r="G37" s="10" t="s">
        <v>159</v>
      </c>
    </row>
    <row r="38" spans="1:7" x14ac:dyDescent="0.25">
      <c r="A38" s="14">
        <v>20</v>
      </c>
      <c r="B38" s="14" t="s">
        <v>33</v>
      </c>
      <c r="C38" s="48" t="s">
        <v>600</v>
      </c>
      <c r="D38" s="14">
        <v>2</v>
      </c>
      <c r="E38" s="14">
        <v>2</v>
      </c>
      <c r="F38" s="14">
        <f t="shared" si="0"/>
        <v>0</v>
      </c>
      <c r="G38" s="10" t="s">
        <v>159</v>
      </c>
    </row>
    <row r="39" spans="1:7" x14ac:dyDescent="0.25">
      <c r="A39" s="14">
        <v>20</v>
      </c>
      <c r="B39" s="14" t="s">
        <v>33</v>
      </c>
      <c r="C39" s="48" t="s">
        <v>622</v>
      </c>
      <c r="D39" s="14">
        <v>66</v>
      </c>
      <c r="E39" s="14">
        <v>66</v>
      </c>
      <c r="F39" s="14">
        <f t="shared" si="0"/>
        <v>0</v>
      </c>
      <c r="G39" s="10" t="s">
        <v>179</v>
      </c>
    </row>
    <row r="40" spans="1:7" x14ac:dyDescent="0.25">
      <c r="A40" s="14">
        <v>20</v>
      </c>
      <c r="B40" s="14" t="s">
        <v>33</v>
      </c>
      <c r="C40" s="48" t="s">
        <v>418</v>
      </c>
      <c r="D40" s="14">
        <v>2</v>
      </c>
      <c r="E40" s="14">
        <v>2</v>
      </c>
      <c r="F40" s="14">
        <f t="shared" si="0"/>
        <v>0</v>
      </c>
      <c r="G40" s="10" t="s">
        <v>159</v>
      </c>
    </row>
    <row r="41" spans="1:7" x14ac:dyDescent="0.25">
      <c r="A41" s="14">
        <v>20</v>
      </c>
      <c r="B41" s="14" t="s">
        <v>33</v>
      </c>
      <c r="C41" s="48" t="s">
        <v>1049</v>
      </c>
      <c r="D41" s="14">
        <v>16</v>
      </c>
      <c r="E41" s="14">
        <v>6</v>
      </c>
      <c r="F41" s="14">
        <f t="shared" si="0"/>
        <v>10</v>
      </c>
      <c r="G41" s="10" t="s">
        <v>354</v>
      </c>
    </row>
    <row r="42" spans="1:7" x14ac:dyDescent="0.25">
      <c r="A42" s="76"/>
      <c r="B42" s="76" t="s">
        <v>15</v>
      </c>
      <c r="C42" s="76"/>
      <c r="D42" s="76"/>
      <c r="E42" s="76"/>
      <c r="F42" s="76"/>
      <c r="G42" s="76"/>
    </row>
    <row r="43" spans="1:7" x14ac:dyDescent="0.25">
      <c r="A43" s="10">
        <v>20</v>
      </c>
      <c r="B43" s="10" t="s">
        <v>15</v>
      </c>
      <c r="C43" s="48" t="s">
        <v>363</v>
      </c>
      <c r="D43" s="10">
        <v>6</v>
      </c>
      <c r="E43" s="10">
        <v>6</v>
      </c>
      <c r="F43" s="10">
        <f t="shared" si="0"/>
        <v>0</v>
      </c>
      <c r="G43" s="10" t="s">
        <v>159</v>
      </c>
    </row>
    <row r="44" spans="1:7" x14ac:dyDescent="0.25">
      <c r="A44" s="10">
        <v>20</v>
      </c>
      <c r="B44" s="10" t="s">
        <v>15</v>
      </c>
      <c r="C44" s="48" t="s">
        <v>665</v>
      </c>
      <c r="D44" s="10">
        <v>4</v>
      </c>
      <c r="E44" s="10">
        <v>2</v>
      </c>
      <c r="F44" s="10">
        <f t="shared" si="0"/>
        <v>2</v>
      </c>
      <c r="G44" s="10" t="s">
        <v>159</v>
      </c>
    </row>
    <row r="45" spans="1:7" x14ac:dyDescent="0.25">
      <c r="A45" s="10">
        <v>20</v>
      </c>
      <c r="B45" s="10" t="s">
        <v>15</v>
      </c>
      <c r="C45" s="48" t="s">
        <v>488</v>
      </c>
      <c r="D45" s="10">
        <v>4</v>
      </c>
      <c r="E45" s="10">
        <v>4</v>
      </c>
      <c r="F45" s="10">
        <f t="shared" si="0"/>
        <v>0</v>
      </c>
      <c r="G45" s="10">
        <v>2024</v>
      </c>
    </row>
    <row r="46" spans="1:7" x14ac:dyDescent="0.25">
      <c r="A46" s="10">
        <v>20</v>
      </c>
      <c r="B46" s="10" t="s">
        <v>129</v>
      </c>
      <c r="C46" s="48" t="s">
        <v>939</v>
      </c>
      <c r="D46" s="10">
        <v>6</v>
      </c>
      <c r="E46" s="10">
        <v>2</v>
      </c>
      <c r="F46" s="10">
        <f t="shared" si="0"/>
        <v>4</v>
      </c>
      <c r="G46" s="10"/>
    </row>
    <row r="47" spans="1:7" x14ac:dyDescent="0.25">
      <c r="A47" s="10">
        <v>20</v>
      </c>
      <c r="B47" s="10" t="s">
        <v>15</v>
      </c>
      <c r="C47" s="48" t="s">
        <v>621</v>
      </c>
      <c r="D47" s="10">
        <v>14</v>
      </c>
      <c r="E47" s="10">
        <v>12</v>
      </c>
      <c r="F47" s="10">
        <f t="shared" si="0"/>
        <v>2</v>
      </c>
      <c r="G47" s="10" t="s">
        <v>607</v>
      </c>
    </row>
    <row r="48" spans="1:7" x14ac:dyDescent="0.25">
      <c r="A48" s="10">
        <v>20</v>
      </c>
      <c r="B48" s="10" t="s">
        <v>15</v>
      </c>
      <c r="C48" s="48" t="s">
        <v>184</v>
      </c>
      <c r="D48" s="10">
        <v>14</v>
      </c>
      <c r="E48" s="10">
        <v>14</v>
      </c>
      <c r="F48" s="10">
        <f t="shared" si="0"/>
        <v>0</v>
      </c>
      <c r="G48" s="10"/>
    </row>
    <row r="49" spans="1:8" x14ac:dyDescent="0.25">
      <c r="A49" s="10">
        <v>20</v>
      </c>
      <c r="B49" s="10" t="s">
        <v>15</v>
      </c>
      <c r="C49" s="48" t="s">
        <v>102</v>
      </c>
      <c r="D49" s="10">
        <v>4</v>
      </c>
      <c r="E49" s="10">
        <v>2</v>
      </c>
      <c r="F49" s="10">
        <f t="shared" si="0"/>
        <v>2</v>
      </c>
      <c r="G49" s="10"/>
    </row>
    <row r="50" spans="1:8" x14ac:dyDescent="0.25">
      <c r="A50" s="10">
        <v>20</v>
      </c>
      <c r="B50" s="10" t="s">
        <v>15</v>
      </c>
      <c r="C50" s="48" t="s">
        <v>968</v>
      </c>
      <c r="D50" s="10">
        <v>2</v>
      </c>
      <c r="E50" s="10"/>
      <c r="F50" s="10">
        <f t="shared" si="0"/>
        <v>2</v>
      </c>
      <c r="G50" s="10">
        <v>2018</v>
      </c>
      <c r="H50" t="s">
        <v>354</v>
      </c>
    </row>
    <row r="51" spans="1:8" x14ac:dyDescent="0.25">
      <c r="A51" s="10">
        <v>20</v>
      </c>
      <c r="B51" s="10" t="s">
        <v>15</v>
      </c>
      <c r="C51" s="48" t="s">
        <v>180</v>
      </c>
      <c r="D51" s="10">
        <v>14</v>
      </c>
      <c r="E51" s="10">
        <v>12</v>
      </c>
      <c r="F51" s="10">
        <f t="shared" si="0"/>
        <v>2</v>
      </c>
      <c r="G51" s="10"/>
    </row>
    <row r="52" spans="1:8" x14ac:dyDescent="0.25">
      <c r="A52" s="76"/>
      <c r="B52" s="76" t="s">
        <v>37</v>
      </c>
      <c r="C52" s="76"/>
      <c r="D52" s="76"/>
      <c r="E52" s="76"/>
      <c r="F52" s="76"/>
      <c r="G52" s="76"/>
    </row>
    <row r="53" spans="1:8" x14ac:dyDescent="0.25">
      <c r="A53" s="10">
        <v>20</v>
      </c>
      <c r="B53" s="10" t="s">
        <v>37</v>
      </c>
      <c r="C53" s="48" t="s">
        <v>100</v>
      </c>
      <c r="D53" s="10">
        <v>26</v>
      </c>
      <c r="E53" s="10">
        <v>26</v>
      </c>
      <c r="F53" s="10">
        <f t="shared" si="0"/>
        <v>0</v>
      </c>
      <c r="G53" s="10" t="s">
        <v>225</v>
      </c>
    </row>
    <row r="54" spans="1:8" x14ac:dyDescent="0.25">
      <c r="A54" s="10">
        <v>20</v>
      </c>
      <c r="B54" s="10" t="s">
        <v>37</v>
      </c>
      <c r="C54" s="48" t="s">
        <v>656</v>
      </c>
      <c r="D54" s="10">
        <v>4</v>
      </c>
      <c r="E54" s="10">
        <v>4</v>
      </c>
      <c r="F54" s="10">
        <f t="shared" si="0"/>
        <v>0</v>
      </c>
      <c r="G54" s="10" t="s">
        <v>159</v>
      </c>
      <c r="H54">
        <v>2019</v>
      </c>
    </row>
    <row r="55" spans="1:8" x14ac:dyDescent="0.25">
      <c r="A55" s="10">
        <v>20</v>
      </c>
      <c r="B55" s="10" t="s">
        <v>37</v>
      </c>
      <c r="C55" s="48" t="s">
        <v>484</v>
      </c>
      <c r="D55" s="10">
        <v>4</v>
      </c>
      <c r="E55" s="10">
        <v>4</v>
      </c>
      <c r="F55" s="10">
        <f t="shared" si="0"/>
        <v>0</v>
      </c>
      <c r="G55" s="10" t="s">
        <v>159</v>
      </c>
    </row>
    <row r="56" spans="1:8" x14ac:dyDescent="0.25">
      <c r="A56" s="10">
        <v>20</v>
      </c>
      <c r="B56" s="10" t="s">
        <v>37</v>
      </c>
      <c r="C56" s="48" t="s">
        <v>376</v>
      </c>
      <c r="D56" s="10">
        <v>24</v>
      </c>
      <c r="E56" s="10">
        <v>22</v>
      </c>
      <c r="F56" s="10">
        <f t="shared" si="0"/>
        <v>2</v>
      </c>
      <c r="G56" s="10" t="s">
        <v>159</v>
      </c>
    </row>
    <row r="57" spans="1:8" x14ac:dyDescent="0.25">
      <c r="A57" s="76"/>
      <c r="B57" s="76" t="s">
        <v>46</v>
      </c>
      <c r="C57" s="76"/>
      <c r="D57" s="76"/>
      <c r="E57" s="76"/>
      <c r="F57" s="76"/>
      <c r="G57" s="76"/>
    </row>
    <row r="58" spans="1:8" x14ac:dyDescent="0.25">
      <c r="A58" s="10">
        <v>20</v>
      </c>
      <c r="B58" s="10" t="s">
        <v>46</v>
      </c>
      <c r="C58" s="48" t="s">
        <v>880</v>
      </c>
      <c r="D58" s="10">
        <v>14</v>
      </c>
      <c r="E58" s="10">
        <v>6</v>
      </c>
      <c r="F58" s="10">
        <f t="shared" si="0"/>
        <v>8</v>
      </c>
      <c r="G58" s="10" t="s">
        <v>354</v>
      </c>
    </row>
    <row r="59" spans="1:8" x14ac:dyDescent="0.25">
      <c r="A59" s="10">
        <v>20</v>
      </c>
      <c r="B59" s="10" t="s">
        <v>46</v>
      </c>
      <c r="C59" s="48" t="s">
        <v>412</v>
      </c>
      <c r="D59" s="10">
        <v>14</v>
      </c>
      <c r="E59" s="10">
        <v>14</v>
      </c>
      <c r="F59" s="10">
        <f t="shared" si="0"/>
        <v>0</v>
      </c>
      <c r="G59" s="10" t="s">
        <v>159</v>
      </c>
    </row>
    <row r="60" spans="1:8" x14ac:dyDescent="0.25">
      <c r="A60" s="10">
        <v>20</v>
      </c>
      <c r="B60" s="10" t="s">
        <v>46</v>
      </c>
      <c r="C60" s="48" t="s">
        <v>153</v>
      </c>
      <c r="D60" s="10">
        <v>8</v>
      </c>
      <c r="E60" s="10">
        <v>6</v>
      </c>
      <c r="F60" s="10">
        <f t="shared" si="0"/>
        <v>2</v>
      </c>
      <c r="G60" s="10" t="s">
        <v>607</v>
      </c>
    </row>
    <row r="61" spans="1:8" x14ac:dyDescent="0.25">
      <c r="A61" s="10">
        <v>20</v>
      </c>
      <c r="B61" s="10" t="s">
        <v>46</v>
      </c>
      <c r="C61" s="48" t="s">
        <v>122</v>
      </c>
      <c r="D61" s="10">
        <v>16</v>
      </c>
      <c r="E61" s="10">
        <v>14</v>
      </c>
      <c r="F61" s="10">
        <f t="shared" si="0"/>
        <v>2</v>
      </c>
      <c r="G61" s="10" t="s">
        <v>896</v>
      </c>
    </row>
    <row r="62" spans="1:8" x14ac:dyDescent="0.25">
      <c r="A62" s="76"/>
      <c r="B62" s="76" t="s">
        <v>43</v>
      </c>
      <c r="C62" s="76"/>
      <c r="D62" s="76"/>
      <c r="E62" s="76"/>
      <c r="F62" s="76"/>
      <c r="G62" s="76"/>
      <c r="H62" t="s">
        <v>207</v>
      </c>
    </row>
    <row r="63" spans="1:8" x14ac:dyDescent="0.25">
      <c r="A63" s="10">
        <v>20</v>
      </c>
      <c r="B63" s="10" t="s">
        <v>43</v>
      </c>
      <c r="C63" s="48" t="s">
        <v>120</v>
      </c>
      <c r="D63" s="10">
        <v>2</v>
      </c>
      <c r="E63" s="10">
        <v>2</v>
      </c>
      <c r="F63" s="10">
        <f t="shared" si="0"/>
        <v>0</v>
      </c>
      <c r="G63" s="10"/>
    </row>
    <row r="64" spans="1:8" x14ac:dyDescent="0.25">
      <c r="A64" s="10">
        <v>20</v>
      </c>
      <c r="B64" s="10" t="s">
        <v>43</v>
      </c>
      <c r="C64" s="48" t="s">
        <v>342</v>
      </c>
      <c r="D64" s="10">
        <v>4</v>
      </c>
      <c r="E64" s="10"/>
      <c r="F64" s="10">
        <f t="shared" si="0"/>
        <v>4</v>
      </c>
      <c r="G64" s="10" t="s">
        <v>513</v>
      </c>
    </row>
    <row r="65" spans="1:8" x14ac:dyDescent="0.25">
      <c r="A65" s="10">
        <v>20</v>
      </c>
      <c r="B65" s="10" t="s">
        <v>43</v>
      </c>
      <c r="C65" s="48" t="s">
        <v>124</v>
      </c>
      <c r="D65" s="10">
        <v>16</v>
      </c>
      <c r="E65" s="10">
        <v>12</v>
      </c>
      <c r="F65" s="10">
        <f t="shared" si="0"/>
        <v>4</v>
      </c>
      <c r="G65" s="10">
        <v>2022</v>
      </c>
    </row>
    <row r="66" spans="1:8" x14ac:dyDescent="0.25">
      <c r="A66" s="10">
        <v>20</v>
      </c>
      <c r="B66" s="10" t="s">
        <v>43</v>
      </c>
      <c r="C66" s="48" t="s">
        <v>41</v>
      </c>
      <c r="D66" s="10">
        <v>12</v>
      </c>
      <c r="E66" s="10">
        <v>10</v>
      </c>
      <c r="F66" s="10">
        <f t="shared" si="0"/>
        <v>2</v>
      </c>
      <c r="G66" s="10" t="s">
        <v>172</v>
      </c>
    </row>
    <row r="67" spans="1:8" x14ac:dyDescent="0.25">
      <c r="A67" s="10">
        <v>20</v>
      </c>
      <c r="B67" s="10" t="s">
        <v>43</v>
      </c>
      <c r="C67" s="48" t="s">
        <v>232</v>
      </c>
      <c r="D67" s="10">
        <v>12</v>
      </c>
      <c r="E67" s="10">
        <v>12</v>
      </c>
      <c r="F67" s="10">
        <f t="shared" si="0"/>
        <v>0</v>
      </c>
      <c r="G67" s="10" t="s">
        <v>1040</v>
      </c>
    </row>
    <row r="68" spans="1:8" x14ac:dyDescent="0.25">
      <c r="A68" s="76"/>
      <c r="B68" s="76" t="s">
        <v>63</v>
      </c>
      <c r="C68" s="76"/>
      <c r="D68" s="76"/>
      <c r="E68" s="76"/>
      <c r="F68" s="76"/>
      <c r="G68" s="76"/>
    </row>
    <row r="69" spans="1:8" x14ac:dyDescent="0.25">
      <c r="A69" s="10">
        <v>20</v>
      </c>
      <c r="B69" s="10" t="s">
        <v>63</v>
      </c>
      <c r="C69" s="48" t="s">
        <v>121</v>
      </c>
      <c r="D69" s="10">
        <v>36</v>
      </c>
      <c r="E69" s="10">
        <v>24</v>
      </c>
      <c r="F69" s="10">
        <f t="shared" si="0"/>
        <v>12</v>
      </c>
      <c r="G69" s="10" t="s">
        <v>159</v>
      </c>
      <c r="H69" t="s">
        <v>1088</v>
      </c>
    </row>
    <row r="70" spans="1:8" x14ac:dyDescent="0.25">
      <c r="A70" s="10">
        <v>20</v>
      </c>
      <c r="B70" s="10" t="s">
        <v>63</v>
      </c>
      <c r="C70" s="48" t="s">
        <v>341</v>
      </c>
      <c r="D70" s="10">
        <v>4</v>
      </c>
      <c r="E70" s="10">
        <v>4</v>
      </c>
      <c r="F70" s="10">
        <f t="shared" si="0"/>
        <v>0</v>
      </c>
      <c r="G70" s="10" t="s">
        <v>159</v>
      </c>
    </row>
    <row r="71" spans="1:8" x14ac:dyDescent="0.25">
      <c r="A71" s="10">
        <v>20</v>
      </c>
      <c r="B71" s="10" t="s">
        <v>63</v>
      </c>
      <c r="C71" s="48" t="s">
        <v>687</v>
      </c>
      <c r="D71" s="10">
        <v>2</v>
      </c>
      <c r="E71" s="10">
        <v>2</v>
      </c>
      <c r="F71" s="10">
        <f t="shared" si="0"/>
        <v>0</v>
      </c>
      <c r="G71" s="10"/>
    </row>
    <row r="72" spans="1:8" x14ac:dyDescent="0.25">
      <c r="A72" s="10">
        <v>20</v>
      </c>
      <c r="B72" s="10" t="s">
        <v>63</v>
      </c>
      <c r="C72" s="48" t="s">
        <v>426</v>
      </c>
      <c r="D72" s="10">
        <v>2</v>
      </c>
      <c r="E72" s="10">
        <v>2</v>
      </c>
      <c r="F72" s="10">
        <f t="shared" si="0"/>
        <v>0</v>
      </c>
      <c r="G72" s="10"/>
    </row>
    <row r="73" spans="1:8" x14ac:dyDescent="0.25">
      <c r="A73" s="10">
        <v>20</v>
      </c>
      <c r="B73" s="10" t="s">
        <v>63</v>
      </c>
      <c r="C73" s="48" t="s">
        <v>391</v>
      </c>
      <c r="D73" s="10">
        <v>4</v>
      </c>
      <c r="E73" s="10">
        <v>4</v>
      </c>
      <c r="F73" s="10">
        <f t="shared" si="0"/>
        <v>0</v>
      </c>
      <c r="G73" s="10" t="s">
        <v>383</v>
      </c>
    </row>
    <row r="74" spans="1:8" x14ac:dyDescent="0.25">
      <c r="A74" s="10">
        <v>20</v>
      </c>
      <c r="B74" s="10" t="s">
        <v>63</v>
      </c>
      <c r="C74" s="48" t="s">
        <v>345</v>
      </c>
      <c r="D74" s="10">
        <v>28</v>
      </c>
      <c r="E74" s="10">
        <v>14</v>
      </c>
      <c r="F74" s="10">
        <f t="shared" si="0"/>
        <v>14</v>
      </c>
      <c r="G74" s="10" t="s">
        <v>406</v>
      </c>
    </row>
    <row r="75" spans="1:8" x14ac:dyDescent="0.25">
      <c r="A75" s="10">
        <v>20</v>
      </c>
      <c r="B75" s="10" t="s">
        <v>243</v>
      </c>
      <c r="C75" s="48" t="s">
        <v>358</v>
      </c>
      <c r="D75" s="10">
        <v>16</v>
      </c>
      <c r="E75" s="10">
        <v>12</v>
      </c>
      <c r="F75" s="10">
        <f t="shared" si="0"/>
        <v>4</v>
      </c>
      <c r="G75" s="10" t="s">
        <v>159</v>
      </c>
      <c r="H75" s="152">
        <v>2018</v>
      </c>
    </row>
    <row r="76" spans="1:8" x14ac:dyDescent="0.25">
      <c r="A76" s="10">
        <v>20</v>
      </c>
      <c r="B76" s="10" t="s">
        <v>63</v>
      </c>
      <c r="C76" s="48" t="s">
        <v>29</v>
      </c>
      <c r="D76" s="10">
        <v>16</v>
      </c>
      <c r="E76" s="10">
        <v>8</v>
      </c>
      <c r="F76" s="10">
        <f t="shared" si="0"/>
        <v>8</v>
      </c>
      <c r="G76" s="10" t="s">
        <v>213</v>
      </c>
    </row>
    <row r="77" spans="1:8" x14ac:dyDescent="0.25">
      <c r="A77" s="76"/>
      <c r="B77" s="76" t="s">
        <v>199</v>
      </c>
      <c r="C77" s="76"/>
      <c r="D77" s="76"/>
      <c r="E77" s="76"/>
      <c r="F77" s="76"/>
      <c r="G77" s="76"/>
    </row>
    <row r="78" spans="1:8" x14ac:dyDescent="0.25">
      <c r="A78" s="10">
        <v>20</v>
      </c>
      <c r="B78" s="10" t="s">
        <v>58</v>
      </c>
      <c r="C78" s="48" t="s">
        <v>114</v>
      </c>
      <c r="D78" s="10">
        <v>6</v>
      </c>
      <c r="E78" s="10"/>
      <c r="F78" s="10">
        <f t="shared" si="0"/>
        <v>6</v>
      </c>
      <c r="G78" s="10"/>
    </row>
    <row r="79" spans="1:8" x14ac:dyDescent="0.25">
      <c r="A79" s="10">
        <v>20</v>
      </c>
      <c r="B79" s="10" t="s">
        <v>58</v>
      </c>
      <c r="C79" s="48" t="s">
        <v>962</v>
      </c>
      <c r="D79" s="10">
        <v>4</v>
      </c>
      <c r="E79" s="10"/>
      <c r="F79" s="10">
        <f t="shared" si="0"/>
        <v>4</v>
      </c>
      <c r="G79" s="10">
        <v>2021</v>
      </c>
    </row>
    <row r="80" spans="1:8" x14ac:dyDescent="0.25">
      <c r="A80" s="10">
        <v>20</v>
      </c>
      <c r="B80" s="10" t="s">
        <v>58</v>
      </c>
      <c r="C80" s="48" t="s">
        <v>121</v>
      </c>
      <c r="D80" s="10">
        <v>6</v>
      </c>
      <c r="E80" s="10">
        <v>6</v>
      </c>
      <c r="F80" s="10">
        <f t="shared" si="0"/>
        <v>0</v>
      </c>
      <c r="G80" s="10" t="s">
        <v>159</v>
      </c>
    </row>
    <row r="81" spans="1:7" x14ac:dyDescent="0.25">
      <c r="A81" s="10">
        <v>20</v>
      </c>
      <c r="B81" s="10" t="s">
        <v>58</v>
      </c>
      <c r="C81" s="48" t="s">
        <v>484</v>
      </c>
      <c r="D81" s="10">
        <v>4</v>
      </c>
      <c r="E81" s="10"/>
      <c r="F81" s="10">
        <f t="shared" si="0"/>
        <v>4</v>
      </c>
      <c r="G81" s="10" t="s">
        <v>607</v>
      </c>
    </row>
    <row r="82" spans="1:7" x14ac:dyDescent="0.25">
      <c r="A82" s="10">
        <v>20</v>
      </c>
      <c r="B82" s="10" t="s">
        <v>58</v>
      </c>
      <c r="C82" s="48" t="s">
        <v>399</v>
      </c>
      <c r="D82" s="10">
        <v>52</v>
      </c>
      <c r="E82" s="10">
        <v>48</v>
      </c>
      <c r="F82" s="10">
        <f t="shared" si="0"/>
        <v>4</v>
      </c>
      <c r="G82" s="10" t="s">
        <v>159</v>
      </c>
    </row>
    <row r="83" spans="1:7" x14ac:dyDescent="0.25">
      <c r="A83" s="10">
        <v>20</v>
      </c>
      <c r="B83" s="10" t="s">
        <v>58</v>
      </c>
      <c r="C83" s="48" t="s">
        <v>106</v>
      </c>
      <c r="D83" s="10">
        <v>6</v>
      </c>
      <c r="E83" s="10">
        <v>2</v>
      </c>
      <c r="F83" s="10">
        <f t="shared" si="0"/>
        <v>4</v>
      </c>
      <c r="G83" s="10"/>
    </row>
    <row r="84" spans="1:7" x14ac:dyDescent="0.25">
      <c r="A84" s="10">
        <v>20</v>
      </c>
      <c r="B84" s="10" t="s">
        <v>58</v>
      </c>
      <c r="C84" s="48" t="s">
        <v>539</v>
      </c>
      <c r="D84" s="10">
        <v>20</v>
      </c>
      <c r="E84" s="10">
        <v>16</v>
      </c>
      <c r="F84" s="10">
        <f t="shared" si="0"/>
        <v>4</v>
      </c>
      <c r="G84" s="10" t="s">
        <v>159</v>
      </c>
    </row>
    <row r="85" spans="1:7" x14ac:dyDescent="0.25">
      <c r="A85" s="10">
        <v>20</v>
      </c>
      <c r="B85" s="10" t="s">
        <v>216</v>
      </c>
      <c r="C85" s="48" t="s">
        <v>102</v>
      </c>
      <c r="D85" s="10">
        <v>4</v>
      </c>
      <c r="E85" s="10"/>
      <c r="F85" s="10">
        <f t="shared" si="0"/>
        <v>4</v>
      </c>
      <c r="G85" s="10"/>
    </row>
    <row r="86" spans="1:7" x14ac:dyDescent="0.25">
      <c r="A86" s="10">
        <v>20</v>
      </c>
      <c r="B86" s="10" t="s">
        <v>13</v>
      </c>
      <c r="C86" s="48" t="s">
        <v>793</v>
      </c>
      <c r="D86" s="10">
        <v>18</v>
      </c>
      <c r="E86" s="10">
        <v>18</v>
      </c>
      <c r="F86" s="10">
        <f t="shared" si="0"/>
        <v>0</v>
      </c>
      <c r="G86" s="10" t="s">
        <v>631</v>
      </c>
    </row>
    <row r="87" spans="1:7" x14ac:dyDescent="0.25">
      <c r="A87" s="10">
        <v>20</v>
      </c>
      <c r="B87" s="10" t="s">
        <v>13</v>
      </c>
      <c r="C87" s="48" t="s">
        <v>425</v>
      </c>
      <c r="D87" s="10">
        <v>4</v>
      </c>
      <c r="E87" s="10">
        <v>4</v>
      </c>
      <c r="F87" s="10">
        <f t="shared" si="0"/>
        <v>0</v>
      </c>
      <c r="G87" s="10" t="s">
        <v>634</v>
      </c>
    </row>
    <row r="88" spans="1:7" x14ac:dyDescent="0.25">
      <c r="A88" s="10">
        <v>20</v>
      </c>
      <c r="B88" s="10" t="s">
        <v>13</v>
      </c>
      <c r="C88" s="48" t="s">
        <v>414</v>
      </c>
      <c r="D88" s="10">
        <v>16</v>
      </c>
      <c r="E88" s="10">
        <v>12</v>
      </c>
      <c r="F88" s="10">
        <f t="shared" si="0"/>
        <v>4</v>
      </c>
      <c r="G88" s="10" t="s">
        <v>159</v>
      </c>
    </row>
    <row r="89" spans="1:7" x14ac:dyDescent="0.25">
      <c r="A89" s="10">
        <v>20</v>
      </c>
      <c r="B89" s="10" t="s">
        <v>13</v>
      </c>
      <c r="C89" s="48" t="s">
        <v>470</v>
      </c>
      <c r="D89" s="10">
        <v>12</v>
      </c>
      <c r="E89" s="10">
        <v>12</v>
      </c>
      <c r="F89" s="10">
        <f t="shared" si="0"/>
        <v>0</v>
      </c>
      <c r="G89" s="10" t="s">
        <v>159</v>
      </c>
    </row>
    <row r="90" spans="1:7" x14ac:dyDescent="0.25">
      <c r="A90" s="10">
        <v>20</v>
      </c>
      <c r="B90" s="10" t="s">
        <v>13</v>
      </c>
      <c r="C90" s="48" t="s">
        <v>41</v>
      </c>
      <c r="D90" s="10">
        <v>4</v>
      </c>
      <c r="E90" s="10"/>
      <c r="F90" s="10">
        <f t="shared" si="0"/>
        <v>4</v>
      </c>
      <c r="G90" s="10" t="s">
        <v>729</v>
      </c>
    </row>
    <row r="91" spans="1:7" x14ac:dyDescent="0.25">
      <c r="A91" s="10">
        <v>20</v>
      </c>
      <c r="B91" s="10" t="s">
        <v>13</v>
      </c>
      <c r="C91" s="48" t="s">
        <v>102</v>
      </c>
      <c r="D91" s="10">
        <v>2</v>
      </c>
      <c r="E91" s="10"/>
      <c r="F91" s="10">
        <f t="shared" si="0"/>
        <v>2</v>
      </c>
      <c r="G91" s="10"/>
    </row>
    <row r="92" spans="1:7" x14ac:dyDescent="0.25">
      <c r="A92" s="10">
        <v>20</v>
      </c>
      <c r="B92" s="10" t="s">
        <v>13</v>
      </c>
      <c r="C92" s="48" t="s">
        <v>140</v>
      </c>
      <c r="D92" s="10">
        <v>66</v>
      </c>
      <c r="E92" s="10">
        <v>46</v>
      </c>
      <c r="F92" s="10">
        <f t="shared" si="0"/>
        <v>20</v>
      </c>
      <c r="G92" s="10" t="s">
        <v>723</v>
      </c>
    </row>
    <row r="93" spans="1:7" x14ac:dyDescent="0.25">
      <c r="A93" s="76"/>
      <c r="B93" s="76" t="s">
        <v>200</v>
      </c>
      <c r="C93" s="76"/>
      <c r="D93" s="76"/>
      <c r="E93" s="76"/>
      <c r="F93" s="76"/>
      <c r="G93" s="76"/>
    </row>
    <row r="94" spans="1:7" x14ac:dyDescent="0.25">
      <c r="A94" s="10">
        <v>20</v>
      </c>
      <c r="B94" s="10" t="s">
        <v>88</v>
      </c>
      <c r="C94" s="48" t="s">
        <v>141</v>
      </c>
      <c r="D94" s="10">
        <v>2</v>
      </c>
      <c r="E94" s="10">
        <v>2</v>
      </c>
      <c r="F94" s="10">
        <f t="shared" si="0"/>
        <v>0</v>
      </c>
      <c r="G94" s="10"/>
    </row>
    <row r="95" spans="1:7" x14ac:dyDescent="0.25">
      <c r="A95" s="10">
        <v>20</v>
      </c>
      <c r="B95" s="10" t="s">
        <v>88</v>
      </c>
      <c r="C95" s="48" t="s">
        <v>27</v>
      </c>
      <c r="D95" s="10">
        <v>4</v>
      </c>
      <c r="E95" s="10">
        <v>4</v>
      </c>
      <c r="F95" s="10">
        <f t="shared" si="0"/>
        <v>0</v>
      </c>
      <c r="G95" s="10"/>
    </row>
    <row r="96" spans="1:7" x14ac:dyDescent="0.25">
      <c r="A96" s="10">
        <v>20</v>
      </c>
      <c r="B96" s="10" t="s">
        <v>88</v>
      </c>
      <c r="C96" s="48" t="s">
        <v>84</v>
      </c>
      <c r="D96" s="10">
        <v>2</v>
      </c>
      <c r="E96" s="10">
        <v>2</v>
      </c>
      <c r="F96" s="10">
        <f t="shared" si="0"/>
        <v>0</v>
      </c>
      <c r="G96" s="10"/>
    </row>
    <row r="97" spans="1:8" x14ac:dyDescent="0.25">
      <c r="A97" s="103"/>
      <c r="B97" s="103"/>
      <c r="C97" s="103"/>
      <c r="D97" s="103"/>
      <c r="E97" s="103"/>
      <c r="F97" s="103"/>
      <c r="G97" s="103"/>
      <c r="H97" t="s">
        <v>161</v>
      </c>
    </row>
    <row r="98" spans="1:8" x14ac:dyDescent="0.25">
      <c r="A98" s="10">
        <v>20</v>
      </c>
      <c r="B98" s="10" t="s">
        <v>67</v>
      </c>
      <c r="C98" s="48" t="s">
        <v>991</v>
      </c>
      <c r="D98" s="10">
        <v>6</v>
      </c>
      <c r="E98" s="10">
        <v>4</v>
      </c>
      <c r="F98" s="10">
        <f t="shared" si="0"/>
        <v>2</v>
      </c>
      <c r="G98" s="10" t="s">
        <v>607</v>
      </c>
    </row>
    <row r="99" spans="1:8" x14ac:dyDescent="0.25">
      <c r="A99" s="10">
        <v>20</v>
      </c>
      <c r="B99" s="10" t="s">
        <v>67</v>
      </c>
      <c r="C99" s="48" t="s">
        <v>101</v>
      </c>
      <c r="D99" s="10">
        <v>18</v>
      </c>
      <c r="E99" s="10">
        <v>16</v>
      </c>
      <c r="F99" s="10">
        <f t="shared" si="0"/>
        <v>2</v>
      </c>
      <c r="G99" s="10"/>
    </row>
    <row r="100" spans="1:8" x14ac:dyDescent="0.25">
      <c r="A100" s="10">
        <v>20</v>
      </c>
      <c r="B100" s="10" t="s">
        <v>67</v>
      </c>
      <c r="C100" s="48" t="s">
        <v>125</v>
      </c>
      <c r="D100" s="10">
        <v>8</v>
      </c>
      <c r="E100" s="10">
        <v>8</v>
      </c>
      <c r="F100" s="10">
        <f t="shared" si="0"/>
        <v>0</v>
      </c>
      <c r="G100" s="10"/>
    </row>
    <row r="101" spans="1:8" x14ac:dyDescent="0.25">
      <c r="A101" s="10">
        <v>20</v>
      </c>
      <c r="B101" s="10" t="s">
        <v>67</v>
      </c>
      <c r="C101" s="48" t="s">
        <v>68</v>
      </c>
      <c r="D101" s="10">
        <v>4</v>
      </c>
      <c r="E101" s="10">
        <v>4</v>
      </c>
      <c r="F101" s="10">
        <f t="shared" si="0"/>
        <v>0</v>
      </c>
      <c r="G101" s="10"/>
    </row>
    <row r="102" spans="1:8" x14ac:dyDescent="0.25">
      <c r="A102" s="10">
        <v>20</v>
      </c>
      <c r="B102" s="10" t="s">
        <v>67</v>
      </c>
      <c r="C102" s="48" t="s">
        <v>232</v>
      </c>
      <c r="D102" s="10">
        <v>12</v>
      </c>
      <c r="E102" s="10">
        <v>12</v>
      </c>
      <c r="F102" s="10">
        <f t="shared" si="0"/>
        <v>0</v>
      </c>
      <c r="G102" s="10" t="s">
        <v>159</v>
      </c>
    </row>
    <row r="103" spans="1:8" x14ac:dyDescent="0.25">
      <c r="A103" s="10">
        <v>20</v>
      </c>
      <c r="B103" s="10" t="s">
        <v>67</v>
      </c>
      <c r="C103" s="48" t="s">
        <v>41</v>
      </c>
      <c r="D103" s="10">
        <v>4</v>
      </c>
      <c r="E103" s="10">
        <v>4</v>
      </c>
      <c r="F103" s="10">
        <f t="shared" si="0"/>
        <v>0</v>
      </c>
      <c r="G103" s="10"/>
    </row>
    <row r="104" spans="1:8" x14ac:dyDescent="0.25">
      <c r="A104" s="10">
        <v>20</v>
      </c>
      <c r="B104" s="10" t="s">
        <v>67</v>
      </c>
      <c r="C104" s="48" t="s">
        <v>87</v>
      </c>
      <c r="D104" s="10">
        <v>12</v>
      </c>
      <c r="E104" s="10">
        <v>12</v>
      </c>
      <c r="F104" s="10">
        <f t="shared" si="0"/>
        <v>0</v>
      </c>
      <c r="G104" s="10"/>
    </row>
    <row r="105" spans="1:8" x14ac:dyDescent="0.25">
      <c r="A105" s="76"/>
      <c r="B105" s="76" t="s">
        <v>95</v>
      </c>
      <c r="C105" s="76"/>
      <c r="D105" s="76"/>
      <c r="E105" s="76"/>
      <c r="F105" s="76"/>
      <c r="G105" s="76"/>
    </row>
    <row r="106" spans="1:8" x14ac:dyDescent="0.25">
      <c r="A106" s="10">
        <v>20</v>
      </c>
      <c r="B106" s="10" t="s">
        <v>95</v>
      </c>
      <c r="C106" s="48" t="s">
        <v>529</v>
      </c>
      <c r="D106" s="10">
        <v>90</v>
      </c>
      <c r="E106" s="10">
        <v>90</v>
      </c>
      <c r="F106" s="10">
        <f t="shared" si="0"/>
        <v>0</v>
      </c>
      <c r="G106" s="10" t="s">
        <v>159</v>
      </c>
    </row>
    <row r="107" spans="1:8" x14ac:dyDescent="0.25">
      <c r="A107" s="10">
        <v>20</v>
      </c>
      <c r="B107" s="10" t="s">
        <v>95</v>
      </c>
      <c r="C107" s="48" t="s">
        <v>65</v>
      </c>
      <c r="D107" s="10">
        <v>10</v>
      </c>
      <c r="E107" s="10">
        <v>10</v>
      </c>
      <c r="F107" s="10">
        <f t="shared" si="0"/>
        <v>0</v>
      </c>
      <c r="G107" s="10" t="s">
        <v>159</v>
      </c>
    </row>
    <row r="108" spans="1:8" x14ac:dyDescent="0.25">
      <c r="A108" s="10">
        <v>20</v>
      </c>
      <c r="B108" s="10" t="s">
        <v>95</v>
      </c>
      <c r="C108" s="48" t="s">
        <v>459</v>
      </c>
      <c r="D108" s="10">
        <v>4</v>
      </c>
      <c r="E108" s="10">
        <v>4</v>
      </c>
      <c r="F108" s="10">
        <f t="shared" si="0"/>
        <v>0</v>
      </c>
      <c r="G108" s="10" t="s">
        <v>634</v>
      </c>
    </row>
    <row r="109" spans="1:8" x14ac:dyDescent="0.25">
      <c r="A109" s="10">
        <v>20</v>
      </c>
      <c r="B109" s="10" t="s">
        <v>95</v>
      </c>
      <c r="C109" s="48" t="s">
        <v>537</v>
      </c>
      <c r="D109" s="10">
        <v>10</v>
      </c>
      <c r="E109" s="10">
        <v>8</v>
      </c>
      <c r="F109" s="10">
        <f t="shared" si="0"/>
        <v>2</v>
      </c>
      <c r="G109" s="10" t="s">
        <v>159</v>
      </c>
    </row>
    <row r="110" spans="1:8" x14ac:dyDescent="0.25">
      <c r="A110" s="10">
        <v>20</v>
      </c>
      <c r="B110" s="10" t="s">
        <v>95</v>
      </c>
      <c r="C110" s="48" t="s">
        <v>212</v>
      </c>
      <c r="D110" s="10">
        <v>42</v>
      </c>
      <c r="E110" s="10">
        <v>42</v>
      </c>
      <c r="F110" s="10">
        <f t="shared" si="0"/>
        <v>0</v>
      </c>
      <c r="G110" s="10"/>
    </row>
    <row r="111" spans="1:8" x14ac:dyDescent="0.25">
      <c r="A111" s="10">
        <v>20</v>
      </c>
      <c r="B111" s="10" t="s">
        <v>95</v>
      </c>
      <c r="C111" s="48" t="s">
        <v>369</v>
      </c>
      <c r="D111" s="10">
        <v>4</v>
      </c>
      <c r="E111" s="10">
        <v>4</v>
      </c>
      <c r="F111" s="10">
        <f t="shared" si="0"/>
        <v>0</v>
      </c>
      <c r="G111" s="10"/>
    </row>
    <row r="112" spans="1:8" x14ac:dyDescent="0.25">
      <c r="A112" s="10">
        <v>20</v>
      </c>
      <c r="B112" s="10" t="s">
        <v>95</v>
      </c>
      <c r="C112" s="48" t="s">
        <v>1041</v>
      </c>
      <c r="D112" s="10">
        <v>12</v>
      </c>
      <c r="E112" s="10">
        <v>8</v>
      </c>
      <c r="F112" s="10">
        <f t="shared" si="0"/>
        <v>4</v>
      </c>
      <c r="G112" s="10" t="s">
        <v>354</v>
      </c>
    </row>
    <row r="113" spans="1:8" x14ac:dyDescent="0.25">
      <c r="A113" s="10">
        <v>20</v>
      </c>
      <c r="B113" s="10" t="s">
        <v>95</v>
      </c>
      <c r="C113" s="48" t="s">
        <v>1097</v>
      </c>
      <c r="D113" s="10">
        <v>24</v>
      </c>
      <c r="E113" s="10">
        <v>20</v>
      </c>
      <c r="F113" s="10">
        <f t="shared" si="0"/>
        <v>4</v>
      </c>
      <c r="G113" s="10" t="s">
        <v>159</v>
      </c>
    </row>
    <row r="114" spans="1:8" x14ac:dyDescent="0.25">
      <c r="A114" s="10">
        <v>20</v>
      </c>
      <c r="B114" s="10" t="s">
        <v>95</v>
      </c>
      <c r="C114" s="48" t="s">
        <v>877</v>
      </c>
      <c r="D114" s="10">
        <v>12</v>
      </c>
      <c r="E114" s="10">
        <v>4</v>
      </c>
      <c r="F114" s="10">
        <f t="shared" si="0"/>
        <v>8</v>
      </c>
      <c r="G114" s="10" t="s">
        <v>354</v>
      </c>
    </row>
    <row r="115" spans="1:8" x14ac:dyDescent="0.25">
      <c r="A115" s="10">
        <v>20</v>
      </c>
      <c r="B115" s="10" t="s">
        <v>95</v>
      </c>
      <c r="C115" s="48" t="s">
        <v>1071</v>
      </c>
      <c r="D115" s="10">
        <v>8</v>
      </c>
      <c r="E115" s="10"/>
      <c r="F115" s="10">
        <f t="shared" si="0"/>
        <v>8</v>
      </c>
      <c r="G115" s="10"/>
    </row>
    <row r="116" spans="1:8" x14ac:dyDescent="0.25">
      <c r="A116" s="10">
        <v>20</v>
      </c>
      <c r="B116" s="10" t="s">
        <v>641</v>
      </c>
      <c r="C116" s="48" t="s">
        <v>642</v>
      </c>
      <c r="D116" s="10">
        <v>10</v>
      </c>
      <c r="E116" s="10">
        <v>6</v>
      </c>
      <c r="F116" s="10">
        <f t="shared" si="0"/>
        <v>4</v>
      </c>
      <c r="G116" s="10"/>
    </row>
    <row r="117" spans="1:8" x14ac:dyDescent="0.25">
      <c r="A117" s="76"/>
      <c r="B117" s="76" t="s">
        <v>61</v>
      </c>
      <c r="C117" s="76"/>
      <c r="D117" s="76"/>
      <c r="E117" s="76"/>
      <c r="F117" s="76"/>
      <c r="G117" s="76"/>
    </row>
    <row r="118" spans="1:8" x14ac:dyDescent="0.25">
      <c r="A118" s="10">
        <v>20</v>
      </c>
      <c r="B118" s="10" t="s">
        <v>61</v>
      </c>
      <c r="C118" s="48" t="s">
        <v>48</v>
      </c>
      <c r="D118" s="10">
        <v>16</v>
      </c>
      <c r="E118" s="10">
        <v>16</v>
      </c>
      <c r="F118" s="10">
        <f t="shared" si="0"/>
        <v>0</v>
      </c>
      <c r="G118" s="10" t="s">
        <v>28</v>
      </c>
    </row>
    <row r="119" spans="1:8" x14ac:dyDescent="0.25">
      <c r="A119" s="10">
        <v>20</v>
      </c>
      <c r="B119" s="10" t="s">
        <v>61</v>
      </c>
      <c r="C119" s="48" t="s">
        <v>948</v>
      </c>
      <c r="D119" s="10">
        <v>6</v>
      </c>
      <c r="E119" s="10">
        <v>6</v>
      </c>
      <c r="F119" s="10">
        <f t="shared" si="0"/>
        <v>0</v>
      </c>
      <c r="G119" s="10" t="s">
        <v>607</v>
      </c>
    </row>
    <row r="120" spans="1:8" x14ac:dyDescent="0.25">
      <c r="A120" s="10">
        <v>20</v>
      </c>
      <c r="B120" s="10" t="s">
        <v>61</v>
      </c>
      <c r="C120" s="48" t="s">
        <v>502</v>
      </c>
      <c r="D120" s="10">
        <v>12</v>
      </c>
      <c r="E120" s="10">
        <v>8</v>
      </c>
      <c r="F120" s="10">
        <f t="shared" si="0"/>
        <v>4</v>
      </c>
      <c r="G120" s="10" t="s">
        <v>159</v>
      </c>
    </row>
    <row r="121" spans="1:8" x14ac:dyDescent="0.25">
      <c r="A121" s="10">
        <v>20</v>
      </c>
      <c r="B121" s="10" t="s">
        <v>61</v>
      </c>
      <c r="C121" s="48" t="s">
        <v>130</v>
      </c>
      <c r="D121" s="10">
        <v>8</v>
      </c>
      <c r="E121" s="10">
        <v>8</v>
      </c>
      <c r="F121" s="10">
        <f t="shared" si="0"/>
        <v>0</v>
      </c>
      <c r="G121" s="10"/>
    </row>
    <row r="122" spans="1:8" x14ac:dyDescent="0.25">
      <c r="A122" s="10">
        <v>20</v>
      </c>
      <c r="B122" s="10" t="s">
        <v>61</v>
      </c>
      <c r="C122" s="48" t="s">
        <v>488</v>
      </c>
      <c r="D122" s="10">
        <v>42</v>
      </c>
      <c r="E122" s="10">
        <v>36</v>
      </c>
      <c r="F122" s="10">
        <f t="shared" si="0"/>
        <v>6</v>
      </c>
      <c r="G122" s="10" t="s">
        <v>159</v>
      </c>
      <c r="H122" t="s">
        <v>1090</v>
      </c>
    </row>
    <row r="123" spans="1:8" x14ac:dyDescent="0.25">
      <c r="A123" s="10">
        <v>20</v>
      </c>
      <c r="B123" s="10" t="s">
        <v>61</v>
      </c>
      <c r="C123" s="48" t="s">
        <v>304</v>
      </c>
      <c r="D123" s="10">
        <v>2</v>
      </c>
      <c r="E123" s="10">
        <v>2</v>
      </c>
      <c r="F123" s="10">
        <f t="shared" si="0"/>
        <v>0</v>
      </c>
      <c r="G123" s="10"/>
    </row>
    <row r="124" spans="1:8" x14ac:dyDescent="0.25">
      <c r="A124" s="10">
        <v>20</v>
      </c>
      <c r="B124" s="10" t="s">
        <v>61</v>
      </c>
      <c r="C124" s="48" t="s">
        <v>852</v>
      </c>
      <c r="D124" s="10">
        <v>12</v>
      </c>
      <c r="E124" s="10">
        <v>8</v>
      </c>
      <c r="F124" s="10">
        <f t="shared" si="0"/>
        <v>4</v>
      </c>
      <c r="G124" s="10" t="s">
        <v>172</v>
      </c>
    </row>
    <row r="125" spans="1:8" x14ac:dyDescent="0.25">
      <c r="A125" s="10">
        <v>20</v>
      </c>
      <c r="B125" s="10" t="s">
        <v>61</v>
      </c>
      <c r="C125" s="48" t="s">
        <v>230</v>
      </c>
      <c r="D125" s="10">
        <v>4</v>
      </c>
      <c r="E125" s="10">
        <v>4</v>
      </c>
      <c r="F125" s="10">
        <f t="shared" si="0"/>
        <v>0</v>
      </c>
      <c r="G125" s="10" t="s">
        <v>159</v>
      </c>
    </row>
    <row r="126" spans="1:8" x14ac:dyDescent="0.25">
      <c r="A126" s="10">
        <v>20</v>
      </c>
      <c r="B126" s="10" t="s">
        <v>61</v>
      </c>
      <c r="C126" s="48" t="s">
        <v>877</v>
      </c>
      <c r="D126" s="10">
        <v>4</v>
      </c>
      <c r="E126" s="10">
        <v>4</v>
      </c>
      <c r="F126" s="10">
        <f t="shared" si="0"/>
        <v>0</v>
      </c>
      <c r="G126" s="10" t="s">
        <v>354</v>
      </c>
    </row>
    <row r="127" spans="1:8" x14ac:dyDescent="0.25">
      <c r="A127" s="76"/>
      <c r="B127" s="76" t="s">
        <v>50</v>
      </c>
      <c r="C127" s="76"/>
      <c r="D127" s="76"/>
      <c r="E127" s="76"/>
      <c r="F127" s="76"/>
      <c r="G127" s="76"/>
    </row>
    <row r="128" spans="1:8" x14ac:dyDescent="0.25">
      <c r="A128" s="10">
        <v>20</v>
      </c>
      <c r="B128" s="10" t="s">
        <v>50</v>
      </c>
      <c r="C128" s="48" t="s">
        <v>333</v>
      </c>
      <c r="D128" s="10">
        <v>20</v>
      </c>
      <c r="E128" s="10">
        <v>18</v>
      </c>
      <c r="F128" s="10">
        <f t="shared" si="0"/>
        <v>2</v>
      </c>
      <c r="G128" s="10" t="s">
        <v>172</v>
      </c>
      <c r="H128" t="s">
        <v>370</v>
      </c>
    </row>
    <row r="129" spans="1:10" x14ac:dyDescent="0.25">
      <c r="A129" s="10">
        <v>20</v>
      </c>
      <c r="B129" s="10" t="s">
        <v>50</v>
      </c>
      <c r="C129" s="48" t="s">
        <v>41</v>
      </c>
      <c r="D129" s="10">
        <v>76</v>
      </c>
      <c r="E129" s="10">
        <v>74</v>
      </c>
      <c r="F129" s="10">
        <f>D129-E129</f>
        <v>2</v>
      </c>
      <c r="G129" s="10" t="s">
        <v>436</v>
      </c>
      <c r="H129" t="s">
        <v>624</v>
      </c>
      <c r="I129" t="s">
        <v>742</v>
      </c>
      <c r="J129" s="51"/>
    </row>
    <row r="130" spans="1:10" x14ac:dyDescent="0.25">
      <c r="A130" s="10">
        <v>20</v>
      </c>
      <c r="B130" s="10" t="s">
        <v>50</v>
      </c>
      <c r="C130" s="48" t="s">
        <v>453</v>
      </c>
      <c r="D130" s="10">
        <v>6</v>
      </c>
      <c r="E130" s="10">
        <v>6</v>
      </c>
      <c r="F130" s="10">
        <f t="shared" si="0"/>
        <v>0</v>
      </c>
      <c r="G130" s="10"/>
    </row>
    <row r="131" spans="1:10" x14ac:dyDescent="0.25">
      <c r="A131" s="10">
        <v>20</v>
      </c>
      <c r="B131" s="10" t="s">
        <v>50</v>
      </c>
      <c r="C131" s="48" t="s">
        <v>457</v>
      </c>
      <c r="D131" s="10">
        <v>6</v>
      </c>
      <c r="E131" s="10">
        <v>4</v>
      </c>
      <c r="F131" s="10">
        <f t="shared" si="0"/>
        <v>2</v>
      </c>
      <c r="G131" s="10" t="s">
        <v>792</v>
      </c>
    </row>
    <row r="132" spans="1:10" x14ac:dyDescent="0.25">
      <c r="A132" s="10">
        <v>20</v>
      </c>
      <c r="B132" s="10" t="s">
        <v>50</v>
      </c>
      <c r="C132" s="48" t="s">
        <v>1049</v>
      </c>
      <c r="D132" s="10">
        <v>16</v>
      </c>
      <c r="E132" s="10">
        <v>6</v>
      </c>
      <c r="F132" s="10">
        <f t="shared" si="0"/>
        <v>10</v>
      </c>
      <c r="G132" s="10" t="s">
        <v>354</v>
      </c>
    </row>
    <row r="133" spans="1:10" x14ac:dyDescent="0.25">
      <c r="A133" s="76"/>
      <c r="B133" s="76" t="s">
        <v>51</v>
      </c>
      <c r="C133" s="76"/>
      <c r="D133" s="76"/>
      <c r="E133" s="76"/>
      <c r="F133" s="76"/>
      <c r="G133" s="76"/>
    </row>
    <row r="134" spans="1:10" x14ac:dyDescent="0.25">
      <c r="A134" s="10">
        <v>20</v>
      </c>
      <c r="B134" s="10" t="s">
        <v>51</v>
      </c>
      <c r="C134" s="48" t="s">
        <v>41</v>
      </c>
      <c r="D134" s="10">
        <v>48</v>
      </c>
      <c r="E134" s="10">
        <v>48</v>
      </c>
      <c r="F134" s="10">
        <f t="shared" si="0"/>
        <v>0</v>
      </c>
      <c r="G134" s="10" t="s">
        <v>159</v>
      </c>
    </row>
    <row r="135" spans="1:10" x14ac:dyDescent="0.25">
      <c r="A135" s="10">
        <v>20</v>
      </c>
      <c r="B135" s="10" t="s">
        <v>51</v>
      </c>
      <c r="C135" s="48" t="s">
        <v>702</v>
      </c>
      <c r="D135" s="10">
        <v>18</v>
      </c>
      <c r="E135" s="10">
        <v>18</v>
      </c>
      <c r="F135" s="10">
        <f t="shared" si="0"/>
        <v>0</v>
      </c>
      <c r="G135" s="10" t="s">
        <v>951</v>
      </c>
    </row>
    <row r="136" spans="1:10" x14ac:dyDescent="0.25">
      <c r="A136" s="10">
        <v>20</v>
      </c>
      <c r="B136" s="10" t="s">
        <v>51</v>
      </c>
      <c r="C136" s="48" t="s">
        <v>121</v>
      </c>
      <c r="D136" s="10">
        <v>36</v>
      </c>
      <c r="E136" s="10">
        <v>36</v>
      </c>
      <c r="F136" s="10">
        <f t="shared" si="0"/>
        <v>0</v>
      </c>
      <c r="G136" s="10" t="s">
        <v>159</v>
      </c>
    </row>
    <row r="137" spans="1:10" x14ac:dyDescent="0.25">
      <c r="A137" s="10">
        <v>20</v>
      </c>
      <c r="B137" s="10" t="s">
        <v>51</v>
      </c>
      <c r="C137" s="48" t="s">
        <v>497</v>
      </c>
      <c r="D137" s="10">
        <v>4</v>
      </c>
      <c r="E137" s="10">
        <v>4</v>
      </c>
      <c r="F137" s="10">
        <f t="shared" si="0"/>
        <v>0</v>
      </c>
      <c r="G137" s="10" t="s">
        <v>159</v>
      </c>
    </row>
    <row r="138" spans="1:10" x14ac:dyDescent="0.25">
      <c r="A138" s="10">
        <v>20</v>
      </c>
      <c r="B138" s="10" t="s">
        <v>51</v>
      </c>
      <c r="C138" s="48" t="s">
        <v>387</v>
      </c>
      <c r="D138" s="10">
        <v>8</v>
      </c>
      <c r="E138" s="10">
        <v>8</v>
      </c>
      <c r="F138" s="10">
        <f t="shared" si="0"/>
        <v>0</v>
      </c>
      <c r="G138" s="10" t="s">
        <v>159</v>
      </c>
    </row>
    <row r="139" spans="1:10" x14ac:dyDescent="0.25">
      <c r="A139" s="10">
        <v>20</v>
      </c>
      <c r="B139" s="10" t="s">
        <v>51</v>
      </c>
      <c r="C139" s="48" t="s">
        <v>65</v>
      </c>
      <c r="D139" s="10">
        <v>90</v>
      </c>
      <c r="E139" s="10">
        <v>86</v>
      </c>
      <c r="F139" s="10">
        <f t="shared" si="0"/>
        <v>4</v>
      </c>
      <c r="G139" s="10" t="s">
        <v>1070</v>
      </c>
    </row>
    <row r="140" spans="1:10" x14ac:dyDescent="0.25">
      <c r="A140" s="10">
        <v>20</v>
      </c>
      <c r="B140" s="10" t="s">
        <v>51</v>
      </c>
      <c r="C140" s="48" t="s">
        <v>363</v>
      </c>
      <c r="D140" s="10">
        <v>6</v>
      </c>
      <c r="E140" s="10">
        <v>4</v>
      </c>
      <c r="F140" s="10">
        <f t="shared" si="0"/>
        <v>2</v>
      </c>
      <c r="G140" s="10" t="s">
        <v>708</v>
      </c>
    </row>
    <row r="141" spans="1:10" x14ac:dyDescent="0.25">
      <c r="A141" s="10">
        <v>20</v>
      </c>
      <c r="B141" s="10" t="s">
        <v>51</v>
      </c>
      <c r="C141" s="48" t="s">
        <v>327</v>
      </c>
      <c r="D141" s="10">
        <v>2</v>
      </c>
      <c r="E141" s="10">
        <v>2</v>
      </c>
      <c r="F141" s="10">
        <f t="shared" si="0"/>
        <v>0</v>
      </c>
      <c r="G141" s="10" t="s">
        <v>430</v>
      </c>
    </row>
    <row r="142" spans="1:10" x14ac:dyDescent="0.25">
      <c r="A142" s="10">
        <v>20</v>
      </c>
      <c r="B142" s="10" t="s">
        <v>51</v>
      </c>
      <c r="C142" s="48" t="s">
        <v>596</v>
      </c>
      <c r="D142" s="10">
        <v>16</v>
      </c>
      <c r="E142" s="10">
        <v>12</v>
      </c>
      <c r="F142" s="10">
        <f t="shared" si="0"/>
        <v>4</v>
      </c>
      <c r="G142" s="10" t="s">
        <v>159</v>
      </c>
    </row>
    <row r="143" spans="1:10" x14ac:dyDescent="0.25">
      <c r="A143" s="10">
        <v>20</v>
      </c>
      <c r="B143" s="10" t="s">
        <v>51</v>
      </c>
      <c r="C143" s="48" t="s">
        <v>124</v>
      </c>
      <c r="D143" s="10">
        <v>26</v>
      </c>
      <c r="E143" s="10">
        <v>24</v>
      </c>
      <c r="F143" s="10">
        <f t="shared" si="0"/>
        <v>2</v>
      </c>
      <c r="G143" s="10" t="s">
        <v>607</v>
      </c>
    </row>
    <row r="144" spans="1:10" x14ac:dyDescent="0.25">
      <c r="A144" s="10">
        <v>20</v>
      </c>
      <c r="B144" s="10" t="s">
        <v>51</v>
      </c>
      <c r="C144" s="48" t="s">
        <v>556</v>
      </c>
      <c r="D144" s="10">
        <v>4</v>
      </c>
      <c r="E144" s="10">
        <v>2</v>
      </c>
      <c r="F144" s="10">
        <f t="shared" si="0"/>
        <v>2</v>
      </c>
      <c r="G144" s="10" t="s">
        <v>159</v>
      </c>
    </row>
    <row r="145" spans="1:8" x14ac:dyDescent="0.25">
      <c r="A145" s="10">
        <v>20</v>
      </c>
      <c r="B145" s="10" t="s">
        <v>51</v>
      </c>
      <c r="C145" s="48" t="s">
        <v>876</v>
      </c>
      <c r="D145" s="10">
        <v>10</v>
      </c>
      <c r="E145" s="10">
        <v>10</v>
      </c>
      <c r="F145" s="10">
        <f t="shared" si="0"/>
        <v>0</v>
      </c>
      <c r="G145" s="10" t="s">
        <v>354</v>
      </c>
    </row>
    <row r="146" spans="1:8" x14ac:dyDescent="0.25">
      <c r="A146" s="10">
        <v>20</v>
      </c>
      <c r="B146" s="10" t="s">
        <v>51</v>
      </c>
      <c r="C146" s="48" t="s">
        <v>1071</v>
      </c>
      <c r="D146" s="10">
        <v>14</v>
      </c>
      <c r="E146" s="10">
        <v>6</v>
      </c>
      <c r="F146" s="10">
        <f t="shared" si="0"/>
        <v>8</v>
      </c>
      <c r="G146" s="10" t="s">
        <v>354</v>
      </c>
    </row>
    <row r="147" spans="1:8" x14ac:dyDescent="0.25">
      <c r="A147" s="10">
        <v>20</v>
      </c>
      <c r="B147" s="10" t="s">
        <v>91</v>
      </c>
      <c r="C147" s="48" t="s">
        <v>459</v>
      </c>
      <c r="D147" s="10">
        <v>10</v>
      </c>
      <c r="E147" s="10">
        <v>10</v>
      </c>
      <c r="F147" s="10">
        <f t="shared" si="0"/>
        <v>0</v>
      </c>
      <c r="G147" s="10"/>
    </row>
    <row r="148" spans="1:8" x14ac:dyDescent="0.25">
      <c r="A148" s="10">
        <v>20</v>
      </c>
      <c r="B148" s="10" t="s">
        <v>91</v>
      </c>
      <c r="C148" s="48" t="s">
        <v>121</v>
      </c>
      <c r="D148" s="10">
        <v>10</v>
      </c>
      <c r="E148" s="10">
        <v>8</v>
      </c>
      <c r="F148" s="10">
        <f t="shared" si="0"/>
        <v>2</v>
      </c>
      <c r="G148" s="10" t="s">
        <v>607</v>
      </c>
    </row>
    <row r="149" spans="1:8" x14ac:dyDescent="0.25">
      <c r="A149" s="10">
        <v>20</v>
      </c>
      <c r="B149" s="10" t="s">
        <v>91</v>
      </c>
      <c r="C149" s="48" t="s">
        <v>271</v>
      </c>
      <c r="D149" s="10">
        <v>6</v>
      </c>
      <c r="E149" s="10">
        <v>6</v>
      </c>
      <c r="F149" s="10">
        <f t="shared" si="0"/>
        <v>0</v>
      </c>
      <c r="G149" s="10" t="s">
        <v>159</v>
      </c>
    </row>
    <row r="150" spans="1:8" x14ac:dyDescent="0.25">
      <c r="A150" s="10">
        <v>20</v>
      </c>
      <c r="B150" s="10" t="s">
        <v>91</v>
      </c>
      <c r="C150" s="48" t="s">
        <v>952</v>
      </c>
      <c r="D150" s="10">
        <v>2</v>
      </c>
      <c r="E150" s="10"/>
      <c r="F150" s="10">
        <f t="shared" si="0"/>
        <v>2</v>
      </c>
      <c r="G150" s="10"/>
    </row>
    <row r="151" spans="1:8" x14ac:dyDescent="0.25">
      <c r="A151" s="10">
        <v>20</v>
      </c>
      <c r="B151" s="10" t="s">
        <v>91</v>
      </c>
      <c r="C151" s="48" t="s">
        <v>877</v>
      </c>
      <c r="D151" s="10">
        <v>14</v>
      </c>
      <c r="E151" s="10">
        <v>10</v>
      </c>
      <c r="F151" s="10">
        <f t="shared" si="0"/>
        <v>4</v>
      </c>
      <c r="G151" s="10" t="s">
        <v>354</v>
      </c>
    </row>
    <row r="152" spans="1:8" x14ac:dyDescent="0.25">
      <c r="A152" s="10">
        <v>20</v>
      </c>
      <c r="B152" s="10" t="s">
        <v>91</v>
      </c>
      <c r="C152" s="48" t="s">
        <v>640</v>
      </c>
      <c r="D152" s="10">
        <v>8</v>
      </c>
      <c r="E152" s="10">
        <v>6</v>
      </c>
      <c r="F152" s="10">
        <f t="shared" si="0"/>
        <v>2</v>
      </c>
      <c r="G152" s="10" t="s">
        <v>151</v>
      </c>
    </row>
    <row r="153" spans="1:8" x14ac:dyDescent="0.25">
      <c r="A153" s="10">
        <v>20</v>
      </c>
      <c r="B153" s="10" t="s">
        <v>91</v>
      </c>
      <c r="C153" s="48" t="s">
        <v>386</v>
      </c>
      <c r="D153" s="10">
        <v>16</v>
      </c>
      <c r="E153" s="10">
        <v>14</v>
      </c>
      <c r="F153" s="10">
        <f t="shared" si="0"/>
        <v>2</v>
      </c>
      <c r="G153" s="10" t="s">
        <v>159</v>
      </c>
    </row>
    <row r="154" spans="1:8" x14ac:dyDescent="0.25">
      <c r="A154" s="10">
        <v>20</v>
      </c>
      <c r="B154" s="10" t="s">
        <v>91</v>
      </c>
      <c r="C154" s="48" t="s">
        <v>117</v>
      </c>
      <c r="D154" s="10">
        <v>18</v>
      </c>
      <c r="E154" s="10">
        <v>16</v>
      </c>
      <c r="F154" s="10">
        <f t="shared" si="0"/>
        <v>2</v>
      </c>
      <c r="G154" s="10" t="s">
        <v>159</v>
      </c>
    </row>
    <row r="155" spans="1:8" x14ac:dyDescent="0.25">
      <c r="A155" s="10">
        <v>20</v>
      </c>
      <c r="B155" s="10" t="s">
        <v>91</v>
      </c>
      <c r="C155" s="48" t="s">
        <v>484</v>
      </c>
      <c r="D155" s="10">
        <v>20</v>
      </c>
      <c r="E155" s="10">
        <v>20</v>
      </c>
      <c r="F155" s="10">
        <f t="shared" si="0"/>
        <v>0</v>
      </c>
      <c r="G155" s="10"/>
    </row>
    <row r="156" spans="1:8" x14ac:dyDescent="0.25">
      <c r="A156" s="76"/>
      <c r="B156" s="76" t="s">
        <v>92</v>
      </c>
      <c r="C156" s="76"/>
      <c r="D156" s="76"/>
      <c r="E156" s="76"/>
      <c r="F156" s="76"/>
      <c r="G156" s="76"/>
    </row>
    <row r="157" spans="1:8" x14ac:dyDescent="0.25">
      <c r="A157" s="10">
        <v>20</v>
      </c>
      <c r="B157" s="10" t="s">
        <v>92</v>
      </c>
      <c r="C157" s="48" t="s">
        <v>183</v>
      </c>
      <c r="D157" s="10">
        <v>46</v>
      </c>
      <c r="E157" s="10">
        <v>40</v>
      </c>
      <c r="F157" s="10">
        <f t="shared" si="0"/>
        <v>6</v>
      </c>
      <c r="G157" s="10" t="s">
        <v>154</v>
      </c>
      <c r="H157" t="s">
        <v>305</v>
      </c>
    </row>
    <row r="158" spans="1:8" x14ac:dyDescent="0.25">
      <c r="A158" s="10">
        <v>20</v>
      </c>
      <c r="B158" s="10" t="s">
        <v>92</v>
      </c>
      <c r="C158" s="48" t="s">
        <v>275</v>
      </c>
      <c r="D158" s="10">
        <v>4</v>
      </c>
      <c r="E158" s="10"/>
      <c r="F158" s="10">
        <f t="shared" si="0"/>
        <v>4</v>
      </c>
      <c r="G158" s="10" t="s">
        <v>154</v>
      </c>
    </row>
    <row r="159" spans="1:8" x14ac:dyDescent="0.25">
      <c r="A159" s="10">
        <v>20</v>
      </c>
      <c r="B159" s="10" t="s">
        <v>92</v>
      </c>
      <c r="C159" s="48" t="s">
        <v>102</v>
      </c>
      <c r="D159" s="10">
        <v>14</v>
      </c>
      <c r="E159" s="10">
        <v>12</v>
      </c>
      <c r="F159" s="10">
        <f t="shared" si="0"/>
        <v>2</v>
      </c>
      <c r="G159" s="10"/>
      <c r="H159" t="s">
        <v>561</v>
      </c>
    </row>
    <row r="160" spans="1:8" x14ac:dyDescent="0.25">
      <c r="A160" s="10">
        <v>20</v>
      </c>
      <c r="B160" s="10" t="s">
        <v>92</v>
      </c>
      <c r="C160" s="48" t="s">
        <v>124</v>
      </c>
      <c r="D160" s="10">
        <v>14</v>
      </c>
      <c r="E160" s="10">
        <v>14</v>
      </c>
      <c r="F160" s="10">
        <f t="shared" si="0"/>
        <v>0</v>
      </c>
      <c r="G160" s="10"/>
    </row>
    <row r="161" spans="1:8" x14ac:dyDescent="0.25">
      <c r="A161" s="10">
        <v>20</v>
      </c>
      <c r="B161" s="10" t="s">
        <v>92</v>
      </c>
      <c r="C161" s="48" t="s">
        <v>317</v>
      </c>
      <c r="D161" s="10">
        <v>4</v>
      </c>
      <c r="E161" s="10">
        <v>4</v>
      </c>
      <c r="F161" s="10">
        <f t="shared" si="0"/>
        <v>0</v>
      </c>
      <c r="G161" s="10" t="s">
        <v>154</v>
      </c>
    </row>
    <row r="162" spans="1:8" x14ac:dyDescent="0.25">
      <c r="A162" s="10">
        <v>20</v>
      </c>
      <c r="B162" s="10" t="s">
        <v>92</v>
      </c>
      <c r="C162" s="48" t="s">
        <v>363</v>
      </c>
      <c r="D162" s="10">
        <v>8</v>
      </c>
      <c r="E162" s="10">
        <v>8</v>
      </c>
      <c r="F162" s="10">
        <f t="shared" si="0"/>
        <v>0</v>
      </c>
      <c r="G162" s="10" t="s">
        <v>570</v>
      </c>
    </row>
    <row r="163" spans="1:8" x14ac:dyDescent="0.25">
      <c r="A163" s="10">
        <v>20</v>
      </c>
      <c r="B163" s="10" t="s">
        <v>92</v>
      </c>
      <c r="C163" s="48" t="s">
        <v>260</v>
      </c>
      <c r="D163" s="10">
        <v>2</v>
      </c>
      <c r="E163" s="10">
        <v>2</v>
      </c>
      <c r="F163" s="10">
        <f t="shared" si="0"/>
        <v>0</v>
      </c>
      <c r="G163" s="10" t="s">
        <v>154</v>
      </c>
    </row>
    <row r="164" spans="1:8" x14ac:dyDescent="0.25">
      <c r="A164" s="10">
        <v>20</v>
      </c>
      <c r="B164" s="10" t="s">
        <v>126</v>
      </c>
      <c r="C164" s="48" t="s">
        <v>363</v>
      </c>
      <c r="D164" s="10">
        <v>8</v>
      </c>
      <c r="E164" s="10"/>
      <c r="F164" s="10">
        <f t="shared" si="0"/>
        <v>8</v>
      </c>
      <c r="G164" s="10" t="s">
        <v>154</v>
      </c>
    </row>
    <row r="165" spans="1:8" x14ac:dyDescent="0.25">
      <c r="A165" s="76"/>
      <c r="B165" s="76" t="s">
        <v>66</v>
      </c>
      <c r="C165" s="76"/>
      <c r="D165" s="76"/>
      <c r="E165" s="76"/>
      <c r="F165" s="76"/>
      <c r="G165" s="76"/>
    </row>
    <row r="166" spans="1:8" x14ac:dyDescent="0.25">
      <c r="A166" s="10">
        <v>20</v>
      </c>
      <c r="B166" s="10" t="s">
        <v>66</v>
      </c>
      <c r="C166" s="48" t="s">
        <v>182</v>
      </c>
      <c r="D166" s="10">
        <v>56</v>
      </c>
      <c r="E166" s="10">
        <v>52</v>
      </c>
      <c r="F166" s="10">
        <f>D166-E166</f>
        <v>4</v>
      </c>
      <c r="G166" s="10" t="s">
        <v>159</v>
      </c>
      <c r="H166" t="s">
        <v>699</v>
      </c>
    </row>
    <row r="167" spans="1:8" x14ac:dyDescent="0.25">
      <c r="A167" s="10">
        <v>20</v>
      </c>
      <c r="B167" s="10" t="s">
        <v>66</v>
      </c>
      <c r="C167" s="48" t="s">
        <v>128</v>
      </c>
      <c r="D167" s="10">
        <v>0</v>
      </c>
      <c r="E167" s="10"/>
      <c r="F167" s="10">
        <f>D167-E167</f>
        <v>0</v>
      </c>
      <c r="G167" s="10" t="s">
        <v>159</v>
      </c>
    </row>
    <row r="168" spans="1:8" x14ac:dyDescent="0.25">
      <c r="A168" s="10">
        <v>20</v>
      </c>
      <c r="B168" s="10" t="s">
        <v>66</v>
      </c>
      <c r="C168" s="48" t="s">
        <v>380</v>
      </c>
      <c r="D168" s="10">
        <v>18</v>
      </c>
      <c r="E168" s="10">
        <v>18</v>
      </c>
      <c r="F168" s="10">
        <f>D168-E168</f>
        <v>0</v>
      </c>
      <c r="G168" s="10" t="s">
        <v>159</v>
      </c>
    </row>
    <row r="169" spans="1:8" x14ac:dyDescent="0.25">
      <c r="A169" s="76"/>
      <c r="B169" s="76" t="s">
        <v>201</v>
      </c>
      <c r="C169" s="76"/>
      <c r="D169" s="76"/>
      <c r="E169" s="76"/>
      <c r="F169" s="76"/>
      <c r="G169" s="76"/>
    </row>
    <row r="170" spans="1:8" x14ac:dyDescent="0.25">
      <c r="A170" s="14">
        <v>20</v>
      </c>
      <c r="B170" s="14" t="s">
        <v>96</v>
      </c>
      <c r="C170" s="48" t="s">
        <v>320</v>
      </c>
      <c r="D170" s="14">
        <v>2</v>
      </c>
      <c r="E170" s="14">
        <v>2</v>
      </c>
      <c r="F170" s="10">
        <f>D170-E170</f>
        <v>0</v>
      </c>
      <c r="G170" s="14" t="s">
        <v>159</v>
      </c>
    </row>
    <row r="171" spans="1:8" x14ac:dyDescent="0.25">
      <c r="A171" s="14">
        <v>20</v>
      </c>
      <c r="B171" s="14" t="s">
        <v>96</v>
      </c>
      <c r="C171" s="48" t="s">
        <v>525</v>
      </c>
      <c r="D171" s="14">
        <v>2</v>
      </c>
      <c r="E171" s="14">
        <v>2</v>
      </c>
      <c r="F171" s="10">
        <f>D171-E171</f>
        <v>0</v>
      </c>
      <c r="G171" s="14" t="s">
        <v>526</v>
      </c>
    </row>
    <row r="172" spans="1:8" x14ac:dyDescent="0.25">
      <c r="A172" s="14">
        <v>20</v>
      </c>
      <c r="B172" s="14" t="s">
        <v>96</v>
      </c>
      <c r="C172" s="48" t="s">
        <v>1096</v>
      </c>
      <c r="D172" s="14">
        <v>6</v>
      </c>
      <c r="E172" s="14">
        <v>6</v>
      </c>
      <c r="F172" s="10">
        <f>D172-E172</f>
        <v>0</v>
      </c>
      <c r="G172" s="14"/>
    </row>
    <row r="173" spans="1:8" x14ac:dyDescent="0.25">
      <c r="A173" s="14">
        <v>20</v>
      </c>
      <c r="B173" s="14" t="s">
        <v>96</v>
      </c>
      <c r="C173" s="48" t="s">
        <v>989</v>
      </c>
      <c r="D173" s="14">
        <v>2</v>
      </c>
      <c r="E173" s="14">
        <v>2</v>
      </c>
      <c r="F173" s="10">
        <f>D173-E173</f>
        <v>0</v>
      </c>
      <c r="G173" s="14" t="s">
        <v>607</v>
      </c>
    </row>
    <row r="174" spans="1:8" x14ac:dyDescent="0.25">
      <c r="A174" s="10">
        <v>20</v>
      </c>
      <c r="B174" s="10" t="s">
        <v>53</v>
      </c>
      <c r="C174" s="48" t="s">
        <v>1042</v>
      </c>
      <c r="D174" s="10">
        <v>4</v>
      </c>
      <c r="E174" s="10">
        <v>4</v>
      </c>
      <c r="F174" s="10">
        <f t="shared" si="0"/>
        <v>0</v>
      </c>
      <c r="G174" s="10" t="s">
        <v>154</v>
      </c>
    </row>
    <row r="175" spans="1:8" x14ac:dyDescent="0.25">
      <c r="A175" s="10">
        <v>20</v>
      </c>
      <c r="B175" s="10" t="s">
        <v>53</v>
      </c>
      <c r="C175" s="48" t="s">
        <v>98</v>
      </c>
      <c r="D175" s="10">
        <v>12</v>
      </c>
      <c r="E175" s="10">
        <v>10</v>
      </c>
      <c r="F175" s="10">
        <f t="shared" si="0"/>
        <v>2</v>
      </c>
      <c r="G175" s="10"/>
    </row>
    <row r="176" spans="1:8" x14ac:dyDescent="0.25">
      <c r="A176" s="10">
        <v>20</v>
      </c>
      <c r="B176" s="10" t="s">
        <v>53</v>
      </c>
      <c r="C176" s="48" t="s">
        <v>342</v>
      </c>
      <c r="D176" s="10">
        <v>2</v>
      </c>
      <c r="E176" s="10"/>
      <c r="F176" s="10">
        <f t="shared" si="0"/>
        <v>2</v>
      </c>
      <c r="G176" s="10">
        <v>2021</v>
      </c>
    </row>
    <row r="177" spans="1:8" x14ac:dyDescent="0.25">
      <c r="A177" s="14">
        <v>20</v>
      </c>
      <c r="B177" s="14" t="s">
        <v>174</v>
      </c>
      <c r="C177" s="48" t="s">
        <v>185</v>
      </c>
      <c r="D177" s="14">
        <v>8</v>
      </c>
      <c r="E177" s="14">
        <v>8</v>
      </c>
      <c r="F177" s="10">
        <f t="shared" si="0"/>
        <v>0</v>
      </c>
      <c r="G177" s="14" t="s">
        <v>159</v>
      </c>
    </row>
    <row r="178" spans="1:8" x14ac:dyDescent="0.25">
      <c r="A178" s="14">
        <v>20</v>
      </c>
      <c r="B178" s="14" t="s">
        <v>174</v>
      </c>
      <c r="C178" s="48" t="s">
        <v>884</v>
      </c>
      <c r="D178" s="14">
        <v>6</v>
      </c>
      <c r="E178" s="14">
        <v>4</v>
      </c>
      <c r="F178" s="10">
        <f t="shared" si="0"/>
        <v>2</v>
      </c>
      <c r="G178" s="14" t="s">
        <v>1038</v>
      </c>
    </row>
    <row r="179" spans="1:8" x14ac:dyDescent="0.25">
      <c r="A179" s="14">
        <v>20</v>
      </c>
      <c r="B179" s="14" t="s">
        <v>174</v>
      </c>
      <c r="C179" s="48" t="s">
        <v>575</v>
      </c>
      <c r="D179" s="14">
        <v>4</v>
      </c>
      <c r="E179" s="14">
        <v>4</v>
      </c>
      <c r="F179" s="10">
        <f t="shared" si="0"/>
        <v>0</v>
      </c>
      <c r="G179" s="14"/>
    </row>
    <row r="180" spans="1:8" x14ac:dyDescent="0.25">
      <c r="A180" s="14">
        <v>20</v>
      </c>
      <c r="B180" s="14" t="s">
        <v>174</v>
      </c>
      <c r="C180" s="48" t="s">
        <v>22</v>
      </c>
      <c r="D180" s="14">
        <v>2</v>
      </c>
      <c r="E180" s="14"/>
      <c r="F180" s="10">
        <f t="shared" si="0"/>
        <v>2</v>
      </c>
      <c r="G180" s="14">
        <v>2021</v>
      </c>
    </row>
    <row r="181" spans="1:8" x14ac:dyDescent="0.25">
      <c r="A181" s="14">
        <v>20</v>
      </c>
      <c r="B181" s="14" t="s">
        <v>59</v>
      </c>
      <c r="C181" s="48" t="s">
        <v>124</v>
      </c>
      <c r="D181" s="14">
        <v>4</v>
      </c>
      <c r="E181" s="14"/>
      <c r="F181" s="10">
        <f t="shared" si="0"/>
        <v>4</v>
      </c>
      <c r="G181" s="14" t="s">
        <v>896</v>
      </c>
    </row>
    <row r="182" spans="1:8" x14ac:dyDescent="0.25">
      <c r="A182" s="14">
        <v>20</v>
      </c>
      <c r="B182" s="14" t="s">
        <v>59</v>
      </c>
      <c r="C182" s="48" t="s">
        <v>885</v>
      </c>
      <c r="D182" s="14">
        <v>12</v>
      </c>
      <c r="E182" s="14">
        <v>10</v>
      </c>
      <c r="F182" s="10">
        <f t="shared" si="0"/>
        <v>2</v>
      </c>
      <c r="G182" s="14"/>
    </row>
    <row r="183" spans="1:8" x14ac:dyDescent="0.25">
      <c r="A183" s="14">
        <v>20</v>
      </c>
      <c r="B183" s="14" t="s">
        <v>59</v>
      </c>
      <c r="C183" s="48" t="s">
        <v>363</v>
      </c>
      <c r="D183" s="14">
        <v>4</v>
      </c>
      <c r="E183" s="14">
        <v>4</v>
      </c>
      <c r="F183" s="10">
        <f t="shared" si="0"/>
        <v>0</v>
      </c>
      <c r="G183" s="14"/>
    </row>
    <row r="184" spans="1:8" x14ac:dyDescent="0.25">
      <c r="A184" s="14">
        <v>20</v>
      </c>
      <c r="B184" s="14" t="s">
        <v>59</v>
      </c>
      <c r="C184" s="48" t="s">
        <v>234</v>
      </c>
      <c r="D184" s="14">
        <v>12</v>
      </c>
      <c r="E184" s="14">
        <v>12</v>
      </c>
      <c r="F184" s="10">
        <f t="shared" si="0"/>
        <v>0</v>
      </c>
      <c r="G184" s="14" t="s">
        <v>963</v>
      </c>
    </row>
    <row r="185" spans="1:8" x14ac:dyDescent="0.25">
      <c r="A185" s="10">
        <v>20</v>
      </c>
      <c r="B185" s="10" t="s">
        <v>160</v>
      </c>
      <c r="C185" s="48" t="s">
        <v>211</v>
      </c>
      <c r="D185" s="10">
        <v>62</v>
      </c>
      <c r="E185" s="10">
        <v>56</v>
      </c>
      <c r="F185" s="10">
        <f t="shared" si="0"/>
        <v>6</v>
      </c>
      <c r="G185" s="10" t="s">
        <v>159</v>
      </c>
    </row>
    <row r="186" spans="1:8" x14ac:dyDescent="0.25">
      <c r="A186" s="10">
        <v>20</v>
      </c>
      <c r="B186" s="10" t="s">
        <v>160</v>
      </c>
      <c r="C186" s="48" t="s">
        <v>459</v>
      </c>
      <c r="D186" s="10">
        <v>4</v>
      </c>
      <c r="E186" s="10"/>
      <c r="F186" s="10">
        <f t="shared" si="0"/>
        <v>4</v>
      </c>
      <c r="G186" s="10"/>
    </row>
    <row r="187" spans="1:8" x14ac:dyDescent="0.25">
      <c r="A187" s="10">
        <v>20</v>
      </c>
      <c r="B187" s="10" t="s">
        <v>160</v>
      </c>
      <c r="C187" s="48" t="s">
        <v>484</v>
      </c>
      <c r="D187" s="10">
        <v>30</v>
      </c>
      <c r="E187" s="10">
        <v>26</v>
      </c>
      <c r="F187" s="10">
        <f t="shared" si="0"/>
        <v>4</v>
      </c>
      <c r="G187" s="10" t="s">
        <v>159</v>
      </c>
    </row>
    <row r="188" spans="1:8" x14ac:dyDescent="0.25">
      <c r="A188" s="10">
        <v>20</v>
      </c>
      <c r="B188" s="10" t="s">
        <v>160</v>
      </c>
      <c r="C188" s="48" t="s">
        <v>646</v>
      </c>
      <c r="D188" s="10">
        <v>44</v>
      </c>
      <c r="E188" s="10">
        <v>42</v>
      </c>
      <c r="F188" s="10">
        <f t="shared" si="0"/>
        <v>2</v>
      </c>
      <c r="G188" s="10" t="s">
        <v>779</v>
      </c>
    </row>
    <row r="189" spans="1:8" x14ac:dyDescent="0.25">
      <c r="A189" s="10">
        <v>20</v>
      </c>
      <c r="B189" s="10" t="s">
        <v>160</v>
      </c>
      <c r="C189" s="48" t="s">
        <v>623</v>
      </c>
      <c r="D189" s="10">
        <v>12</v>
      </c>
      <c r="E189" s="10">
        <v>12</v>
      </c>
      <c r="F189" s="10">
        <f t="shared" si="0"/>
        <v>0</v>
      </c>
      <c r="G189" s="10" t="s">
        <v>159</v>
      </c>
    </row>
    <row r="190" spans="1:8" x14ac:dyDescent="0.25">
      <c r="A190" s="10">
        <v>20</v>
      </c>
      <c r="B190" s="10" t="s">
        <v>160</v>
      </c>
      <c r="C190" s="48" t="s">
        <v>325</v>
      </c>
      <c r="D190" s="10">
        <v>96</v>
      </c>
      <c r="E190" s="10">
        <v>94</v>
      </c>
      <c r="F190" s="10">
        <f>D190-E190</f>
        <v>2</v>
      </c>
      <c r="G190" s="10" t="s">
        <v>159</v>
      </c>
      <c r="H190" t="s">
        <v>370</v>
      </c>
    </row>
    <row r="191" spans="1:8" x14ac:dyDescent="0.25">
      <c r="A191" s="76"/>
      <c r="B191" s="76" t="s">
        <v>202</v>
      </c>
      <c r="C191" s="76"/>
      <c r="D191" s="76"/>
      <c r="E191" s="76"/>
      <c r="F191" s="76"/>
      <c r="G191" s="76"/>
    </row>
    <row r="192" spans="1:8" x14ac:dyDescent="0.25">
      <c r="A192" s="10">
        <v>20</v>
      </c>
      <c r="B192" s="10" t="s">
        <v>60</v>
      </c>
      <c r="C192" s="48" t="s">
        <v>54</v>
      </c>
      <c r="D192" s="10">
        <v>12</v>
      </c>
      <c r="E192" s="10">
        <v>10</v>
      </c>
      <c r="F192" s="10">
        <f t="shared" si="0"/>
        <v>2</v>
      </c>
      <c r="G192" s="10"/>
    </row>
    <row r="193" spans="1:7" x14ac:dyDescent="0.25">
      <c r="A193" s="10">
        <v>20</v>
      </c>
      <c r="B193" s="10" t="s">
        <v>60</v>
      </c>
      <c r="C193" s="47" t="s">
        <v>70</v>
      </c>
      <c r="D193" s="10">
        <v>2</v>
      </c>
      <c r="E193" s="10">
        <v>2</v>
      </c>
      <c r="F193" s="10">
        <f t="shared" si="0"/>
        <v>0</v>
      </c>
      <c r="G193" s="10"/>
    </row>
    <row r="194" spans="1:7" x14ac:dyDescent="0.25">
      <c r="A194" s="10">
        <v>20</v>
      </c>
      <c r="B194" s="10" t="s">
        <v>93</v>
      </c>
      <c r="C194" s="47" t="s">
        <v>614</v>
      </c>
      <c r="D194" s="10">
        <v>8</v>
      </c>
      <c r="E194" s="10">
        <v>8</v>
      </c>
      <c r="F194" s="10">
        <f t="shared" si="0"/>
        <v>0</v>
      </c>
      <c r="G194" s="10"/>
    </row>
    <row r="195" spans="1:7" x14ac:dyDescent="0.25">
      <c r="A195" s="10">
        <v>20</v>
      </c>
      <c r="B195" s="10" t="s">
        <v>99</v>
      </c>
      <c r="C195" s="47" t="s">
        <v>575</v>
      </c>
      <c r="D195" s="10">
        <v>10</v>
      </c>
      <c r="E195" s="10">
        <v>10</v>
      </c>
      <c r="F195" s="10">
        <f t="shared" si="0"/>
        <v>0</v>
      </c>
      <c r="G195" s="10"/>
    </row>
    <row r="196" spans="1:7" x14ac:dyDescent="0.25">
      <c r="A196" s="10">
        <v>20</v>
      </c>
      <c r="B196" s="10" t="s">
        <v>99</v>
      </c>
      <c r="C196" s="47" t="s">
        <v>581</v>
      </c>
      <c r="D196" s="10">
        <v>14</v>
      </c>
      <c r="E196" s="10">
        <v>14</v>
      </c>
      <c r="F196" s="10">
        <f t="shared" si="0"/>
        <v>0</v>
      </c>
      <c r="G196" s="10" t="s">
        <v>159</v>
      </c>
    </row>
    <row r="197" spans="1:7" x14ac:dyDescent="0.25">
      <c r="A197" s="10">
        <v>20</v>
      </c>
      <c r="B197" s="10" t="s">
        <v>99</v>
      </c>
      <c r="C197" s="47" t="s">
        <v>106</v>
      </c>
      <c r="D197" s="10">
        <v>6</v>
      </c>
      <c r="E197" s="10">
        <v>4</v>
      </c>
      <c r="F197" s="10">
        <f t="shared" si="0"/>
        <v>2</v>
      </c>
      <c r="G197" s="10"/>
    </row>
    <row r="198" spans="1:7" x14ac:dyDescent="0.25">
      <c r="A198" s="10">
        <v>20</v>
      </c>
      <c r="B198" s="10" t="s">
        <v>238</v>
      </c>
      <c r="C198" s="47" t="s">
        <v>208</v>
      </c>
      <c r="D198" s="10">
        <v>4</v>
      </c>
      <c r="E198" s="10"/>
      <c r="F198" s="10">
        <f t="shared" si="0"/>
        <v>4</v>
      </c>
      <c r="G198" s="10" t="s">
        <v>159</v>
      </c>
    </row>
    <row r="199" spans="1:7" x14ac:dyDescent="0.25">
      <c r="A199" s="10">
        <v>20</v>
      </c>
      <c r="B199" s="10" t="s">
        <v>576</v>
      </c>
      <c r="C199" s="47" t="s">
        <v>363</v>
      </c>
      <c r="D199" s="10">
        <v>4</v>
      </c>
      <c r="E199" s="10"/>
      <c r="F199" s="10">
        <f t="shared" si="0"/>
        <v>4</v>
      </c>
      <c r="G199" s="10"/>
    </row>
    <row r="200" spans="1:7" x14ac:dyDescent="0.25">
      <c r="A200" s="10">
        <v>20</v>
      </c>
      <c r="B200" s="10" t="s">
        <v>576</v>
      </c>
      <c r="C200" s="47" t="s">
        <v>337</v>
      </c>
      <c r="D200" s="10">
        <v>6</v>
      </c>
      <c r="E200" s="10">
        <v>4</v>
      </c>
      <c r="F200" s="10">
        <f t="shared" si="0"/>
        <v>2</v>
      </c>
      <c r="G200" s="10" t="s">
        <v>542</v>
      </c>
    </row>
    <row r="201" spans="1:7" x14ac:dyDescent="0.25">
      <c r="A201" s="10">
        <v>20</v>
      </c>
      <c r="B201" s="10" t="s">
        <v>576</v>
      </c>
      <c r="C201" s="47" t="s">
        <v>753</v>
      </c>
      <c r="D201" s="10">
        <v>4</v>
      </c>
      <c r="E201" s="10">
        <v>4</v>
      </c>
      <c r="F201" s="10">
        <f t="shared" si="0"/>
        <v>0</v>
      </c>
      <c r="G201" s="10" t="s">
        <v>354</v>
      </c>
    </row>
    <row r="202" spans="1:7" x14ac:dyDescent="0.25">
      <c r="A202" s="76"/>
      <c r="B202" s="76" t="s">
        <v>64</v>
      </c>
      <c r="C202" s="76"/>
      <c r="D202" s="77"/>
      <c r="E202" s="77"/>
      <c r="F202" s="77"/>
      <c r="G202" s="76"/>
    </row>
    <row r="203" spans="1:7" x14ac:dyDescent="0.25">
      <c r="A203" s="10">
        <v>20</v>
      </c>
      <c r="B203" s="10" t="s">
        <v>64</v>
      </c>
      <c r="C203" s="48" t="s">
        <v>90</v>
      </c>
      <c r="D203" s="13">
        <v>28</v>
      </c>
      <c r="E203" s="13">
        <v>26</v>
      </c>
      <c r="F203" s="13">
        <f t="shared" si="0"/>
        <v>2</v>
      </c>
      <c r="G203" s="10" t="s">
        <v>607</v>
      </c>
    </row>
    <row r="204" spans="1:7" x14ac:dyDescent="0.25">
      <c r="A204" s="10">
        <v>20</v>
      </c>
      <c r="B204" s="10" t="s">
        <v>64</v>
      </c>
      <c r="C204" s="48" t="s">
        <v>453</v>
      </c>
      <c r="D204" s="13">
        <v>12</v>
      </c>
      <c r="E204" s="13">
        <v>12</v>
      </c>
      <c r="F204" s="13">
        <f t="shared" si="0"/>
        <v>0</v>
      </c>
      <c r="G204" s="10" t="s">
        <v>159</v>
      </c>
    </row>
    <row r="205" spans="1:7" x14ac:dyDescent="0.25">
      <c r="A205" s="10">
        <v>20</v>
      </c>
      <c r="B205" s="10" t="s">
        <v>64</v>
      </c>
      <c r="C205" s="48" t="s">
        <v>362</v>
      </c>
      <c r="D205" s="13">
        <v>22</v>
      </c>
      <c r="E205" s="13">
        <v>22</v>
      </c>
      <c r="F205" s="13">
        <f t="shared" si="0"/>
        <v>0</v>
      </c>
      <c r="G205" s="10" t="s">
        <v>607</v>
      </c>
    </row>
    <row r="206" spans="1:7" x14ac:dyDescent="0.25">
      <c r="A206" s="10">
        <v>20</v>
      </c>
      <c r="B206" s="10" t="s">
        <v>64</v>
      </c>
      <c r="C206" s="48" t="s">
        <v>876</v>
      </c>
      <c r="D206" s="13">
        <v>10</v>
      </c>
      <c r="E206" s="13">
        <v>10</v>
      </c>
      <c r="F206" s="13">
        <f t="shared" si="0"/>
        <v>0</v>
      </c>
      <c r="G206" s="10" t="s">
        <v>354</v>
      </c>
    </row>
    <row r="207" spans="1:7" x14ac:dyDescent="0.25">
      <c r="A207" s="10">
        <v>20</v>
      </c>
      <c r="B207" s="10" t="s">
        <v>64</v>
      </c>
      <c r="C207" s="48" t="s">
        <v>1071</v>
      </c>
      <c r="D207" s="13">
        <v>14</v>
      </c>
      <c r="E207" s="13">
        <v>4</v>
      </c>
      <c r="F207" s="13">
        <f t="shared" si="0"/>
        <v>10</v>
      </c>
      <c r="G207" s="10" t="s">
        <v>354</v>
      </c>
    </row>
    <row r="208" spans="1:7" x14ac:dyDescent="0.25">
      <c r="A208" s="10">
        <v>20</v>
      </c>
      <c r="B208" s="10" t="s">
        <v>64</v>
      </c>
      <c r="C208" s="48" t="s">
        <v>65</v>
      </c>
      <c r="D208" s="13">
        <v>114</v>
      </c>
      <c r="E208" s="13">
        <v>114</v>
      </c>
      <c r="F208" s="13">
        <f>D208-E208</f>
        <v>0</v>
      </c>
      <c r="G208" s="10" t="s">
        <v>179</v>
      </c>
    </row>
    <row r="209" spans="1:7" x14ac:dyDescent="0.25">
      <c r="A209" s="10">
        <v>20</v>
      </c>
      <c r="B209" s="10" t="s">
        <v>64</v>
      </c>
      <c r="C209" s="48" t="s">
        <v>240</v>
      </c>
      <c r="D209" s="13">
        <v>10</v>
      </c>
      <c r="E209" s="13">
        <v>10</v>
      </c>
      <c r="F209" s="13">
        <f>D209-E209</f>
        <v>0</v>
      </c>
      <c r="G209" s="10"/>
    </row>
    <row r="210" spans="1:7" x14ac:dyDescent="0.25">
      <c r="A210" s="10">
        <v>20</v>
      </c>
      <c r="B210" s="10" t="s">
        <v>64</v>
      </c>
      <c r="C210" s="48" t="s">
        <v>48</v>
      </c>
      <c r="D210" s="13">
        <v>46</v>
      </c>
      <c r="E210" s="13">
        <v>46</v>
      </c>
      <c r="F210" s="13">
        <f t="shared" si="0"/>
        <v>0</v>
      </c>
      <c r="G210" s="10"/>
    </row>
    <row r="211" spans="1:7" x14ac:dyDescent="0.25">
      <c r="A211" s="10">
        <v>20</v>
      </c>
      <c r="B211" s="10" t="s">
        <v>64</v>
      </c>
      <c r="C211" s="48" t="s">
        <v>630</v>
      </c>
      <c r="D211" s="13">
        <v>4</v>
      </c>
      <c r="E211" s="13">
        <v>2</v>
      </c>
      <c r="F211" s="13">
        <f t="shared" si="0"/>
        <v>2</v>
      </c>
      <c r="G211" s="10" t="s">
        <v>159</v>
      </c>
    </row>
    <row r="212" spans="1:7" x14ac:dyDescent="0.25">
      <c r="A212" s="13">
        <v>20</v>
      </c>
      <c r="B212" s="13" t="s">
        <v>64</v>
      </c>
      <c r="C212" s="139" t="s">
        <v>121</v>
      </c>
      <c r="D212" s="13">
        <v>8</v>
      </c>
      <c r="E212" s="13">
        <v>8</v>
      </c>
      <c r="F212" s="13">
        <f t="shared" si="0"/>
        <v>0</v>
      </c>
      <c r="G212" s="13" t="s">
        <v>442</v>
      </c>
    </row>
    <row r="213" spans="1:7" x14ac:dyDescent="0.25">
      <c r="A213" s="10">
        <v>20</v>
      </c>
      <c r="B213" s="10" t="s">
        <v>326</v>
      </c>
      <c r="C213" s="48" t="s">
        <v>422</v>
      </c>
      <c r="D213" s="10">
        <v>2</v>
      </c>
      <c r="E213" s="10"/>
      <c r="F213" s="13">
        <f t="shared" si="0"/>
        <v>2</v>
      </c>
      <c r="G213" s="10" t="s">
        <v>159</v>
      </c>
    </row>
    <row r="214" spans="1:7" ht="15.75" thickBot="1" x14ac:dyDescent="0.3">
      <c r="A214" s="51"/>
      <c r="B214" s="51"/>
      <c r="C214" s="51"/>
      <c r="D214" s="140">
        <f>SUM(D2:D213)</f>
        <v>2812</v>
      </c>
      <c r="E214" s="141">
        <f>SUM(E2:E213)</f>
        <v>2414</v>
      </c>
      <c r="F214" s="142">
        <f>SUM(F2:F212)</f>
        <v>396</v>
      </c>
      <c r="G214" s="51"/>
    </row>
  </sheetData>
  <sortState xmlns:xlrd2="http://schemas.microsoft.com/office/spreadsheetml/2017/richdata2" ref="A2:G40">
    <sortCondition ref="B2"/>
  </sortState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4"/>
  <sheetViews>
    <sheetView topLeftCell="A43" zoomScale="130" zoomScaleNormal="130" workbookViewId="0">
      <selection activeCell="F57" sqref="F57"/>
    </sheetView>
  </sheetViews>
  <sheetFormatPr defaultRowHeight="15" x14ac:dyDescent="0.25"/>
  <cols>
    <col min="2" max="2" width="11.7109375" customWidth="1"/>
    <col min="3" max="3" width="28.5703125" customWidth="1"/>
    <col min="7" max="7" width="17.42578125" customWidth="1"/>
  </cols>
  <sheetData>
    <row r="1" spans="1:7" s="79" customFormat="1" ht="15.75" x14ac:dyDescent="0.25">
      <c r="A1" s="84" t="s">
        <v>0</v>
      </c>
      <c r="B1" s="84" t="s">
        <v>1</v>
      </c>
      <c r="C1" s="84" t="s">
        <v>2</v>
      </c>
      <c r="D1" s="85" t="s">
        <v>3</v>
      </c>
      <c r="E1" s="85" t="s">
        <v>4</v>
      </c>
      <c r="F1" s="85" t="s">
        <v>5</v>
      </c>
      <c r="G1" s="85" t="s">
        <v>6</v>
      </c>
    </row>
    <row r="2" spans="1:7" s="79" customFormat="1" ht="15.75" x14ac:dyDescent="0.25">
      <c r="A2" s="86">
        <v>21</v>
      </c>
      <c r="B2" s="86" t="s">
        <v>44</v>
      </c>
      <c r="C2" s="80" t="s">
        <v>644</v>
      </c>
      <c r="D2" s="86">
        <v>4</v>
      </c>
      <c r="E2" s="86">
        <v>2</v>
      </c>
      <c r="F2" s="86">
        <f t="shared" ref="F2:F103" si="0">D2-E2</f>
        <v>2</v>
      </c>
      <c r="G2" s="87">
        <v>2022</v>
      </c>
    </row>
    <row r="3" spans="1:7" s="79" customFormat="1" ht="15.75" x14ac:dyDescent="0.25">
      <c r="A3" s="86">
        <v>21</v>
      </c>
      <c r="B3" s="86" t="s">
        <v>44</v>
      </c>
      <c r="C3" s="80" t="s">
        <v>311</v>
      </c>
      <c r="D3" s="86">
        <v>12</v>
      </c>
      <c r="E3" s="86">
        <v>10</v>
      </c>
      <c r="F3" s="86">
        <f t="shared" si="0"/>
        <v>2</v>
      </c>
      <c r="G3" s="87"/>
    </row>
    <row r="4" spans="1:7" s="79" customFormat="1" ht="15.75" x14ac:dyDescent="0.25">
      <c r="A4" s="86">
        <v>21</v>
      </c>
      <c r="B4" s="86" t="s">
        <v>33</v>
      </c>
      <c r="C4" s="80" t="s">
        <v>363</v>
      </c>
      <c r="D4" s="86">
        <v>14</v>
      </c>
      <c r="E4" s="86">
        <v>14</v>
      </c>
      <c r="F4" s="86">
        <f t="shared" si="0"/>
        <v>0</v>
      </c>
      <c r="G4" s="87" t="s">
        <v>607</v>
      </c>
    </row>
    <row r="5" spans="1:7" s="79" customFormat="1" ht="15.75" x14ac:dyDescent="0.25">
      <c r="A5" s="86">
        <v>21</v>
      </c>
      <c r="B5" s="86" t="s">
        <v>15</v>
      </c>
      <c r="C5" s="80" t="s">
        <v>229</v>
      </c>
      <c r="D5" s="86">
        <v>12</v>
      </c>
      <c r="E5" s="86">
        <v>10</v>
      </c>
      <c r="F5" s="86">
        <f t="shared" si="0"/>
        <v>2</v>
      </c>
      <c r="G5" s="87"/>
    </row>
    <row r="6" spans="1:7" s="79" customFormat="1" ht="15.75" x14ac:dyDescent="0.25">
      <c r="A6" s="104"/>
      <c r="B6" s="104" t="s">
        <v>43</v>
      </c>
      <c r="C6" s="105"/>
      <c r="D6" s="104"/>
      <c r="E6" s="104"/>
      <c r="F6" s="104"/>
      <c r="G6" s="106"/>
    </row>
    <row r="7" spans="1:7" x14ac:dyDescent="0.25">
      <c r="A7" s="5">
        <v>21</v>
      </c>
      <c r="B7" s="5" t="s">
        <v>43</v>
      </c>
      <c r="C7" s="88" t="s">
        <v>273</v>
      </c>
      <c r="D7" s="5">
        <v>10</v>
      </c>
      <c r="E7" s="5">
        <v>8</v>
      </c>
      <c r="F7" s="5">
        <f>D7-E7</f>
        <v>2</v>
      </c>
      <c r="G7" s="1" t="s">
        <v>769</v>
      </c>
    </row>
    <row r="8" spans="1:7" x14ac:dyDescent="0.25">
      <c r="A8" s="5">
        <v>21</v>
      </c>
      <c r="B8" s="5" t="s">
        <v>43</v>
      </c>
      <c r="C8" s="88" t="s">
        <v>497</v>
      </c>
      <c r="D8" s="5">
        <v>4</v>
      </c>
      <c r="E8" s="5">
        <v>4</v>
      </c>
      <c r="F8" s="5">
        <f>D8-E8</f>
        <v>0</v>
      </c>
      <c r="G8" s="1" t="s">
        <v>607</v>
      </c>
    </row>
    <row r="9" spans="1:7" x14ac:dyDescent="0.25">
      <c r="A9" s="5">
        <v>21</v>
      </c>
      <c r="B9" s="5" t="s">
        <v>43</v>
      </c>
      <c r="C9" s="88" t="s">
        <v>770</v>
      </c>
      <c r="D9" s="5">
        <v>10</v>
      </c>
      <c r="E9" s="5">
        <v>10</v>
      </c>
      <c r="F9" s="5">
        <f t="shared" si="0"/>
        <v>0</v>
      </c>
      <c r="G9" s="1" t="s">
        <v>771</v>
      </c>
    </row>
    <row r="10" spans="1:7" x14ac:dyDescent="0.25">
      <c r="A10" s="5">
        <v>21</v>
      </c>
      <c r="B10" s="5" t="s">
        <v>46</v>
      </c>
      <c r="C10" s="88" t="s">
        <v>766</v>
      </c>
      <c r="D10" s="5">
        <v>4</v>
      </c>
      <c r="E10" s="5"/>
      <c r="F10" s="5">
        <f t="shared" si="0"/>
        <v>4</v>
      </c>
      <c r="G10" s="1"/>
    </row>
    <row r="11" spans="1:7" x14ac:dyDescent="0.25">
      <c r="A11" s="5">
        <v>21</v>
      </c>
      <c r="B11" s="5" t="s">
        <v>46</v>
      </c>
      <c r="C11" s="88" t="s">
        <v>885</v>
      </c>
      <c r="D11" s="5">
        <v>8</v>
      </c>
      <c r="E11" s="5">
        <v>8</v>
      </c>
      <c r="F11" s="5">
        <f t="shared" si="0"/>
        <v>0</v>
      </c>
      <c r="G11" s="1" t="s">
        <v>607</v>
      </c>
    </row>
    <row r="12" spans="1:7" x14ac:dyDescent="0.25">
      <c r="A12" s="5">
        <v>21</v>
      </c>
      <c r="B12" s="5" t="s">
        <v>55</v>
      </c>
      <c r="C12" s="88" t="s">
        <v>226</v>
      </c>
      <c r="D12" s="5">
        <v>4</v>
      </c>
      <c r="E12" s="5">
        <v>4</v>
      </c>
      <c r="F12" s="5">
        <f t="shared" si="0"/>
        <v>0</v>
      </c>
      <c r="G12" s="1" t="s">
        <v>159</v>
      </c>
    </row>
    <row r="13" spans="1:7" x14ac:dyDescent="0.25">
      <c r="A13" s="5">
        <v>21</v>
      </c>
      <c r="B13" s="5" t="s">
        <v>88</v>
      </c>
      <c r="C13" s="88" t="s">
        <v>355</v>
      </c>
      <c r="D13" s="5">
        <v>2</v>
      </c>
      <c r="E13" s="5">
        <v>2</v>
      </c>
      <c r="F13" s="5">
        <f t="shared" si="0"/>
        <v>0</v>
      </c>
      <c r="G13" s="1"/>
    </row>
    <row r="14" spans="1:7" x14ac:dyDescent="0.25">
      <c r="A14" s="5">
        <v>21</v>
      </c>
      <c r="B14" s="5" t="s">
        <v>88</v>
      </c>
      <c r="C14" s="88" t="s">
        <v>97</v>
      </c>
      <c r="D14" s="5">
        <v>10</v>
      </c>
      <c r="E14" s="5">
        <v>10</v>
      </c>
      <c r="F14" s="5">
        <f t="shared" si="0"/>
        <v>0</v>
      </c>
      <c r="G14" s="1" t="s">
        <v>635</v>
      </c>
    </row>
    <row r="15" spans="1:7" x14ac:dyDescent="0.25">
      <c r="A15" s="5">
        <v>21</v>
      </c>
      <c r="B15" s="5" t="s">
        <v>88</v>
      </c>
      <c r="C15" s="88" t="s">
        <v>288</v>
      </c>
      <c r="D15" s="5">
        <v>8</v>
      </c>
      <c r="E15" s="5">
        <v>4</v>
      </c>
      <c r="F15" s="5">
        <f t="shared" si="0"/>
        <v>4</v>
      </c>
      <c r="G15" s="1" t="s">
        <v>660</v>
      </c>
    </row>
    <row r="16" spans="1:7" x14ac:dyDescent="0.25">
      <c r="A16" s="5">
        <v>21</v>
      </c>
      <c r="B16" s="5" t="s">
        <v>88</v>
      </c>
      <c r="C16" s="88" t="s">
        <v>456</v>
      </c>
      <c r="D16" s="5">
        <v>8</v>
      </c>
      <c r="E16" s="5">
        <v>8</v>
      </c>
      <c r="F16" s="5">
        <f t="shared" si="0"/>
        <v>0</v>
      </c>
      <c r="G16" s="1"/>
    </row>
    <row r="17" spans="1:8" x14ac:dyDescent="0.25">
      <c r="A17" s="5">
        <v>21</v>
      </c>
      <c r="B17" s="5" t="s">
        <v>67</v>
      </c>
      <c r="C17" s="88" t="s">
        <v>363</v>
      </c>
      <c r="D17" s="5">
        <v>8</v>
      </c>
      <c r="E17" s="5">
        <v>2</v>
      </c>
      <c r="F17" s="5">
        <f t="shared" si="0"/>
        <v>6</v>
      </c>
      <c r="G17" s="1" t="s">
        <v>915</v>
      </c>
    </row>
    <row r="18" spans="1:8" x14ac:dyDescent="0.25">
      <c r="A18" s="5">
        <v>21</v>
      </c>
      <c r="B18" s="5" t="s">
        <v>67</v>
      </c>
      <c r="C18" s="88" t="s">
        <v>962</v>
      </c>
      <c r="D18" s="5">
        <v>4</v>
      </c>
      <c r="E18" s="5"/>
      <c r="F18" s="5">
        <f t="shared" si="0"/>
        <v>4</v>
      </c>
      <c r="G18" s="1" t="s">
        <v>729</v>
      </c>
    </row>
    <row r="19" spans="1:8" x14ac:dyDescent="0.25">
      <c r="A19" s="5">
        <v>21</v>
      </c>
      <c r="B19" s="5" t="s">
        <v>67</v>
      </c>
      <c r="C19" s="88" t="s">
        <v>883</v>
      </c>
      <c r="D19" s="5">
        <v>6</v>
      </c>
      <c r="E19" s="5">
        <v>6</v>
      </c>
      <c r="F19" s="5">
        <f t="shared" si="0"/>
        <v>0</v>
      </c>
      <c r="G19" s="1" t="s">
        <v>354</v>
      </c>
    </row>
    <row r="20" spans="1:8" x14ac:dyDescent="0.25">
      <c r="A20" s="5">
        <v>21</v>
      </c>
      <c r="B20" s="5" t="s">
        <v>67</v>
      </c>
      <c r="C20" s="88" t="s">
        <v>882</v>
      </c>
      <c r="D20" s="5">
        <v>4</v>
      </c>
      <c r="E20" s="5"/>
      <c r="F20" s="5">
        <f t="shared" si="0"/>
        <v>4</v>
      </c>
      <c r="G20" s="1" t="s">
        <v>354</v>
      </c>
    </row>
    <row r="21" spans="1:8" x14ac:dyDescent="0.25">
      <c r="A21" s="5">
        <v>21</v>
      </c>
      <c r="B21" s="5" t="s">
        <v>67</v>
      </c>
      <c r="C21" s="88" t="s">
        <v>350</v>
      </c>
      <c r="D21" s="5">
        <v>8</v>
      </c>
      <c r="E21" s="5"/>
      <c r="F21" s="5">
        <f t="shared" si="0"/>
        <v>8</v>
      </c>
      <c r="G21" s="1" t="s">
        <v>631</v>
      </c>
    </row>
    <row r="22" spans="1:8" x14ac:dyDescent="0.25">
      <c r="A22" s="5">
        <v>21</v>
      </c>
      <c r="B22" s="5" t="s">
        <v>67</v>
      </c>
      <c r="C22" s="88" t="s">
        <v>242</v>
      </c>
      <c r="D22" s="5">
        <v>44</v>
      </c>
      <c r="E22" s="5">
        <v>42</v>
      </c>
      <c r="F22" s="5">
        <f t="shared" si="0"/>
        <v>2</v>
      </c>
      <c r="G22" s="1" t="s">
        <v>225</v>
      </c>
    </row>
    <row r="23" spans="1:8" x14ac:dyDescent="0.25">
      <c r="A23" s="5">
        <v>21</v>
      </c>
      <c r="B23" s="5" t="s">
        <v>67</v>
      </c>
      <c r="C23" s="88" t="s">
        <v>20</v>
      </c>
      <c r="D23" s="5">
        <v>58</v>
      </c>
      <c r="E23" s="5">
        <v>48</v>
      </c>
      <c r="F23" s="5">
        <f t="shared" si="0"/>
        <v>10</v>
      </c>
      <c r="G23" s="1" t="s">
        <v>495</v>
      </c>
    </row>
    <row r="24" spans="1:8" x14ac:dyDescent="0.25">
      <c r="A24" s="91"/>
      <c r="B24" s="91" t="s">
        <v>51</v>
      </c>
      <c r="C24" s="90"/>
      <c r="D24" s="91"/>
      <c r="E24" s="91"/>
      <c r="F24" s="91"/>
      <c r="G24" s="92"/>
      <c r="H24" t="s">
        <v>207</v>
      </c>
    </row>
    <row r="25" spans="1:8" x14ac:dyDescent="0.25">
      <c r="A25" s="5">
        <v>21</v>
      </c>
      <c r="B25" s="5" t="s">
        <v>51</v>
      </c>
      <c r="C25" s="88" t="s">
        <v>928</v>
      </c>
      <c r="D25" s="5">
        <v>8</v>
      </c>
      <c r="E25" s="5">
        <v>8</v>
      </c>
      <c r="F25" s="5">
        <f t="shared" si="0"/>
        <v>0</v>
      </c>
      <c r="G25" s="1"/>
    </row>
    <row r="26" spans="1:8" x14ac:dyDescent="0.25">
      <c r="A26" s="5">
        <v>21</v>
      </c>
      <c r="B26" s="5" t="s">
        <v>51</v>
      </c>
      <c r="C26" s="88" t="s">
        <v>40</v>
      </c>
      <c r="D26" s="5">
        <v>8</v>
      </c>
      <c r="E26" s="5">
        <v>4</v>
      </c>
      <c r="F26" s="5">
        <f t="shared" si="0"/>
        <v>4</v>
      </c>
      <c r="G26" s="1"/>
    </row>
    <row r="27" spans="1:8" x14ac:dyDescent="0.25">
      <c r="A27" s="5">
        <v>21</v>
      </c>
      <c r="B27" s="5" t="s">
        <v>51</v>
      </c>
      <c r="C27" s="88" t="s">
        <v>585</v>
      </c>
      <c r="D27" s="5">
        <v>12</v>
      </c>
      <c r="E27" s="5">
        <v>10</v>
      </c>
      <c r="F27" s="5">
        <f t="shared" si="0"/>
        <v>2</v>
      </c>
      <c r="G27" s="1" t="s">
        <v>607</v>
      </c>
    </row>
    <row r="28" spans="1:8" x14ac:dyDescent="0.25">
      <c r="A28" s="5">
        <v>21</v>
      </c>
      <c r="B28" s="5" t="s">
        <v>51</v>
      </c>
      <c r="C28" s="88" t="s">
        <v>613</v>
      </c>
      <c r="D28" s="5">
        <v>18</v>
      </c>
      <c r="E28" s="5">
        <v>18</v>
      </c>
      <c r="F28" s="5">
        <f t="shared" si="0"/>
        <v>0</v>
      </c>
      <c r="G28" s="1" t="s">
        <v>607</v>
      </c>
    </row>
    <row r="29" spans="1:8" x14ac:dyDescent="0.25">
      <c r="A29" s="5">
        <v>21</v>
      </c>
      <c r="B29" s="5" t="s">
        <v>51</v>
      </c>
      <c r="C29" s="88" t="s">
        <v>848</v>
      </c>
      <c r="D29" s="5">
        <v>2</v>
      </c>
      <c r="E29" s="5">
        <v>2</v>
      </c>
      <c r="F29" s="5">
        <f t="shared" si="0"/>
        <v>0</v>
      </c>
      <c r="G29" s="1" t="s">
        <v>849</v>
      </c>
    </row>
    <row r="30" spans="1:8" x14ac:dyDescent="0.25">
      <c r="A30" s="5">
        <v>21</v>
      </c>
      <c r="B30" s="5" t="s">
        <v>51</v>
      </c>
      <c r="C30" s="88" t="s">
        <v>766</v>
      </c>
      <c r="D30" s="5">
        <v>2</v>
      </c>
      <c r="E30" s="5">
        <v>2</v>
      </c>
      <c r="F30" s="5">
        <f t="shared" si="0"/>
        <v>0</v>
      </c>
      <c r="G30" s="1"/>
    </row>
    <row r="31" spans="1:8" x14ac:dyDescent="0.25">
      <c r="A31" s="5">
        <v>21</v>
      </c>
      <c r="B31" s="5" t="s">
        <v>51</v>
      </c>
      <c r="C31" s="88" t="s">
        <v>883</v>
      </c>
      <c r="D31" s="5">
        <v>2</v>
      </c>
      <c r="E31" s="5"/>
      <c r="F31" s="5">
        <f t="shared" si="0"/>
        <v>2</v>
      </c>
      <c r="G31" s="1" t="s">
        <v>354</v>
      </c>
    </row>
    <row r="32" spans="1:8" x14ac:dyDescent="0.25">
      <c r="A32" s="5">
        <v>21</v>
      </c>
      <c r="B32" s="5" t="s">
        <v>51</v>
      </c>
      <c r="C32" s="88" t="s">
        <v>40</v>
      </c>
      <c r="D32" s="5">
        <v>2</v>
      </c>
      <c r="E32" s="5"/>
      <c r="F32" s="5">
        <f t="shared" si="0"/>
        <v>2</v>
      </c>
      <c r="G32" s="1"/>
    </row>
    <row r="33" spans="1:8" x14ac:dyDescent="0.25">
      <c r="A33" s="5">
        <v>21</v>
      </c>
      <c r="B33" s="5" t="s">
        <v>91</v>
      </c>
      <c r="C33" s="88" t="s">
        <v>267</v>
      </c>
      <c r="D33" s="5">
        <v>4</v>
      </c>
      <c r="E33" s="5"/>
      <c r="F33" s="5">
        <f t="shared" si="0"/>
        <v>4</v>
      </c>
      <c r="G33" s="1" t="s">
        <v>159</v>
      </c>
    </row>
    <row r="34" spans="1:8" x14ac:dyDescent="0.25">
      <c r="A34" s="5">
        <v>21</v>
      </c>
      <c r="B34" s="5" t="s">
        <v>91</v>
      </c>
      <c r="C34" s="88" t="s">
        <v>459</v>
      </c>
      <c r="D34" s="5">
        <v>6</v>
      </c>
      <c r="E34" s="5">
        <v>4</v>
      </c>
      <c r="F34" s="5">
        <f t="shared" si="0"/>
        <v>2</v>
      </c>
      <c r="G34" s="1" t="s">
        <v>159</v>
      </c>
    </row>
    <row r="35" spans="1:8" x14ac:dyDescent="0.25">
      <c r="A35" s="5">
        <v>21</v>
      </c>
      <c r="B35" s="5" t="s">
        <v>91</v>
      </c>
      <c r="C35" s="88" t="s">
        <v>408</v>
      </c>
      <c r="D35" s="5">
        <v>103</v>
      </c>
      <c r="E35" s="5">
        <v>95</v>
      </c>
      <c r="F35" s="5">
        <f t="shared" si="0"/>
        <v>8</v>
      </c>
      <c r="G35" s="1" t="s">
        <v>748</v>
      </c>
    </row>
    <row r="36" spans="1:8" x14ac:dyDescent="0.25">
      <c r="A36" s="5">
        <v>21</v>
      </c>
      <c r="B36" s="5" t="s">
        <v>91</v>
      </c>
      <c r="C36" s="88" t="s">
        <v>886</v>
      </c>
      <c r="D36" s="5">
        <v>10</v>
      </c>
      <c r="E36" s="5">
        <v>10</v>
      </c>
      <c r="F36" s="5">
        <f t="shared" si="0"/>
        <v>0</v>
      </c>
      <c r="G36" s="1"/>
    </row>
    <row r="37" spans="1:8" x14ac:dyDescent="0.25">
      <c r="A37" s="5">
        <v>21</v>
      </c>
      <c r="B37" s="5" t="s">
        <v>91</v>
      </c>
      <c r="C37" s="88" t="s">
        <v>85</v>
      </c>
      <c r="D37" s="5">
        <v>4</v>
      </c>
      <c r="E37" s="5"/>
      <c r="F37" s="5">
        <f t="shared" si="0"/>
        <v>4</v>
      </c>
      <c r="G37" s="1"/>
    </row>
    <row r="38" spans="1:8" x14ac:dyDescent="0.25">
      <c r="A38" s="5">
        <v>21</v>
      </c>
      <c r="B38" s="5" t="s">
        <v>91</v>
      </c>
      <c r="C38" s="88" t="s">
        <v>280</v>
      </c>
      <c r="D38" s="5">
        <v>20</v>
      </c>
      <c r="E38" s="5">
        <v>16</v>
      </c>
      <c r="F38" s="5">
        <f t="shared" si="0"/>
        <v>4</v>
      </c>
      <c r="G38" s="1"/>
    </row>
    <row r="39" spans="1:8" x14ac:dyDescent="0.25">
      <c r="A39" s="5">
        <v>21</v>
      </c>
      <c r="B39" s="5" t="s">
        <v>91</v>
      </c>
      <c r="C39" s="88" t="s">
        <v>878</v>
      </c>
      <c r="D39" s="5">
        <v>6</v>
      </c>
      <c r="E39" s="5">
        <v>6</v>
      </c>
      <c r="F39" s="5">
        <f t="shared" si="0"/>
        <v>0</v>
      </c>
      <c r="G39" s="1" t="s">
        <v>354</v>
      </c>
    </row>
    <row r="40" spans="1:8" x14ac:dyDescent="0.25">
      <c r="A40" s="5">
        <v>21</v>
      </c>
      <c r="B40" s="5" t="s">
        <v>91</v>
      </c>
      <c r="C40" s="88" t="s">
        <v>234</v>
      </c>
      <c r="D40" s="5">
        <v>122</v>
      </c>
      <c r="E40" s="5">
        <v>104</v>
      </c>
      <c r="F40" s="5">
        <f t="shared" si="0"/>
        <v>18</v>
      </c>
      <c r="G40" s="1" t="s">
        <v>535</v>
      </c>
      <c r="H40" t="s">
        <v>441</v>
      </c>
    </row>
    <row r="41" spans="1:8" x14ac:dyDescent="0.25">
      <c r="A41" s="5">
        <v>21</v>
      </c>
      <c r="B41" s="5" t="s">
        <v>91</v>
      </c>
      <c r="C41" s="88" t="s">
        <v>489</v>
      </c>
      <c r="D41" s="5">
        <v>8</v>
      </c>
      <c r="E41" s="5">
        <v>4</v>
      </c>
      <c r="F41" s="5">
        <f t="shared" si="0"/>
        <v>4</v>
      </c>
      <c r="G41" s="1" t="s">
        <v>931</v>
      </c>
    </row>
    <row r="42" spans="1:8" x14ac:dyDescent="0.25">
      <c r="A42" s="5">
        <v>21</v>
      </c>
      <c r="B42" s="5" t="s">
        <v>50</v>
      </c>
      <c r="C42" s="88" t="s">
        <v>304</v>
      </c>
      <c r="D42" s="5">
        <v>16</v>
      </c>
      <c r="E42" s="5">
        <v>14</v>
      </c>
      <c r="F42" s="5">
        <f t="shared" si="0"/>
        <v>2</v>
      </c>
      <c r="G42" s="1" t="s">
        <v>159</v>
      </c>
    </row>
    <row r="43" spans="1:8" x14ac:dyDescent="0.25">
      <c r="A43" s="5">
        <v>21</v>
      </c>
      <c r="B43" s="5" t="s">
        <v>50</v>
      </c>
      <c r="C43" s="88" t="s">
        <v>600</v>
      </c>
      <c r="D43" s="5">
        <v>6</v>
      </c>
      <c r="E43" s="5">
        <v>2</v>
      </c>
      <c r="F43" s="5">
        <f t="shared" si="0"/>
        <v>4</v>
      </c>
      <c r="G43" s="1" t="s">
        <v>772</v>
      </c>
    </row>
    <row r="44" spans="1:8" x14ac:dyDescent="0.25">
      <c r="A44" s="5">
        <v>21</v>
      </c>
      <c r="B44" s="5" t="s">
        <v>50</v>
      </c>
      <c r="C44" s="88" t="s">
        <v>363</v>
      </c>
      <c r="D44" s="5">
        <v>14</v>
      </c>
      <c r="E44" s="5">
        <v>14</v>
      </c>
      <c r="F44" s="5">
        <f t="shared" si="0"/>
        <v>0</v>
      </c>
      <c r="G44" s="1" t="s">
        <v>599</v>
      </c>
    </row>
    <row r="45" spans="1:8" x14ac:dyDescent="0.25">
      <c r="A45" s="5">
        <v>21</v>
      </c>
      <c r="B45" s="5" t="s">
        <v>50</v>
      </c>
      <c r="C45" s="88" t="s">
        <v>518</v>
      </c>
      <c r="D45" s="5">
        <v>2</v>
      </c>
      <c r="E45" s="5">
        <v>2</v>
      </c>
      <c r="F45" s="5">
        <f t="shared" si="0"/>
        <v>0</v>
      </c>
      <c r="G45" s="1" t="s">
        <v>159</v>
      </c>
    </row>
    <row r="46" spans="1:8" x14ac:dyDescent="0.25">
      <c r="A46" s="5">
        <v>21</v>
      </c>
      <c r="B46" s="5" t="s">
        <v>50</v>
      </c>
      <c r="C46" s="88" t="s">
        <v>636</v>
      </c>
      <c r="D46" s="5">
        <v>2</v>
      </c>
      <c r="E46" s="5"/>
      <c r="F46" s="5">
        <f t="shared" si="0"/>
        <v>2</v>
      </c>
      <c r="G46" s="1" t="s">
        <v>225</v>
      </c>
    </row>
    <row r="47" spans="1:8" x14ac:dyDescent="0.25">
      <c r="A47" s="5">
        <v>21</v>
      </c>
      <c r="B47" s="5" t="s">
        <v>50</v>
      </c>
      <c r="C47" s="88" t="s">
        <v>395</v>
      </c>
      <c r="D47" s="5">
        <v>4</v>
      </c>
      <c r="E47" s="5">
        <v>2</v>
      </c>
      <c r="F47" s="5">
        <f t="shared" si="0"/>
        <v>2</v>
      </c>
      <c r="G47" s="1"/>
    </row>
    <row r="48" spans="1:8" x14ac:dyDescent="0.25">
      <c r="A48" s="5">
        <v>21</v>
      </c>
      <c r="B48" s="5" t="s">
        <v>61</v>
      </c>
      <c r="C48" s="88" t="s">
        <v>41</v>
      </c>
      <c r="D48" s="5">
        <v>4</v>
      </c>
      <c r="E48" s="5">
        <v>4</v>
      </c>
      <c r="F48" s="5">
        <f t="shared" si="0"/>
        <v>0</v>
      </c>
      <c r="G48" s="1" t="s">
        <v>159</v>
      </c>
    </row>
    <row r="49" spans="1:7" x14ac:dyDescent="0.25">
      <c r="A49" s="5">
        <v>21</v>
      </c>
      <c r="B49" s="5" t="s">
        <v>61</v>
      </c>
      <c r="C49" s="88" t="s">
        <v>362</v>
      </c>
      <c r="D49" s="5">
        <v>8</v>
      </c>
      <c r="E49" s="5">
        <v>8</v>
      </c>
      <c r="F49" s="5">
        <f t="shared" si="0"/>
        <v>0</v>
      </c>
      <c r="G49" s="1" t="s">
        <v>172</v>
      </c>
    </row>
    <row r="50" spans="1:7" x14ac:dyDescent="0.25">
      <c r="A50" s="5">
        <v>21</v>
      </c>
      <c r="B50" s="5" t="s">
        <v>61</v>
      </c>
      <c r="C50" s="88" t="s">
        <v>445</v>
      </c>
      <c r="D50" s="5">
        <v>2</v>
      </c>
      <c r="E50" s="5">
        <v>2</v>
      </c>
      <c r="F50" s="5">
        <f t="shared" si="0"/>
        <v>0</v>
      </c>
      <c r="G50" s="1"/>
    </row>
    <row r="51" spans="1:7" x14ac:dyDescent="0.25">
      <c r="A51" s="5">
        <v>21</v>
      </c>
      <c r="B51" s="5" t="s">
        <v>92</v>
      </c>
      <c r="C51" s="88" t="s">
        <v>267</v>
      </c>
      <c r="D51" s="5">
        <v>12</v>
      </c>
      <c r="E51" s="5">
        <v>4</v>
      </c>
      <c r="F51" s="5">
        <f t="shared" si="0"/>
        <v>8</v>
      </c>
      <c r="G51" s="1" t="s">
        <v>159</v>
      </c>
    </row>
    <row r="52" spans="1:7" x14ac:dyDescent="0.25">
      <c r="A52" s="5">
        <v>21</v>
      </c>
      <c r="B52" s="5" t="s">
        <v>92</v>
      </c>
      <c r="C52" s="88" t="s">
        <v>162</v>
      </c>
      <c r="D52" s="5">
        <v>92</v>
      </c>
      <c r="E52" s="5">
        <v>80</v>
      </c>
      <c r="F52" s="5">
        <f t="shared" si="0"/>
        <v>12</v>
      </c>
      <c r="G52" s="1" t="s">
        <v>407</v>
      </c>
    </row>
    <row r="53" spans="1:7" x14ac:dyDescent="0.25">
      <c r="A53" s="5">
        <v>21</v>
      </c>
      <c r="B53" s="5" t="s">
        <v>92</v>
      </c>
      <c r="C53" s="88" t="s">
        <v>801</v>
      </c>
      <c r="D53" s="5">
        <v>6</v>
      </c>
      <c r="E53" s="5">
        <v>4</v>
      </c>
      <c r="F53" s="5">
        <f t="shared" si="0"/>
        <v>2</v>
      </c>
      <c r="G53" s="1" t="s">
        <v>159</v>
      </c>
    </row>
    <row r="54" spans="1:7" x14ac:dyDescent="0.25">
      <c r="A54" s="5">
        <v>21</v>
      </c>
      <c r="B54" s="5" t="s">
        <v>96</v>
      </c>
      <c r="C54" s="88" t="s">
        <v>395</v>
      </c>
      <c r="D54" s="5">
        <v>2</v>
      </c>
      <c r="E54" s="5">
        <v>2</v>
      </c>
      <c r="F54" s="5">
        <f t="shared" si="0"/>
        <v>0</v>
      </c>
      <c r="G54" s="1"/>
    </row>
    <row r="55" spans="1:7" x14ac:dyDescent="0.25">
      <c r="A55" s="5">
        <v>21</v>
      </c>
      <c r="B55" s="5" t="s">
        <v>96</v>
      </c>
      <c r="C55" s="88" t="s">
        <v>106</v>
      </c>
      <c r="D55" s="5">
        <v>4</v>
      </c>
      <c r="E55" s="5">
        <v>2</v>
      </c>
      <c r="F55" s="5">
        <f t="shared" si="0"/>
        <v>2</v>
      </c>
      <c r="G55" s="1"/>
    </row>
    <row r="56" spans="1:7" x14ac:dyDescent="0.25">
      <c r="A56" s="5">
        <v>21</v>
      </c>
      <c r="B56" s="5" t="s">
        <v>96</v>
      </c>
      <c r="C56" s="88" t="s">
        <v>885</v>
      </c>
      <c r="D56" s="5">
        <v>6</v>
      </c>
      <c r="E56" s="5">
        <v>6</v>
      </c>
      <c r="F56" s="5">
        <f t="shared" si="0"/>
        <v>0</v>
      </c>
      <c r="G56" s="1"/>
    </row>
    <row r="57" spans="1:7" x14ac:dyDescent="0.25">
      <c r="A57" s="5">
        <v>21</v>
      </c>
      <c r="B57" s="5" t="s">
        <v>96</v>
      </c>
      <c r="C57" s="88" t="s">
        <v>271</v>
      </c>
      <c r="D57" s="5">
        <v>2</v>
      </c>
      <c r="E57" s="5">
        <v>2</v>
      </c>
      <c r="F57" s="5">
        <f t="shared" si="0"/>
        <v>0</v>
      </c>
      <c r="G57" s="1" t="s">
        <v>159</v>
      </c>
    </row>
    <row r="58" spans="1:7" x14ac:dyDescent="0.25">
      <c r="A58" s="5">
        <v>21</v>
      </c>
      <c r="B58" s="5" t="s">
        <v>53</v>
      </c>
      <c r="C58" s="88" t="s">
        <v>106</v>
      </c>
      <c r="D58" s="5">
        <v>2</v>
      </c>
      <c r="E58" s="5">
        <v>2</v>
      </c>
      <c r="F58" s="5">
        <f t="shared" si="0"/>
        <v>0</v>
      </c>
      <c r="G58" s="1"/>
    </row>
    <row r="59" spans="1:7" x14ac:dyDescent="0.25">
      <c r="A59" s="5">
        <v>21</v>
      </c>
      <c r="B59" s="5" t="s">
        <v>53</v>
      </c>
      <c r="C59" s="88" t="s">
        <v>271</v>
      </c>
      <c r="D59" s="5">
        <v>26</v>
      </c>
      <c r="E59" s="5">
        <v>22</v>
      </c>
      <c r="F59" s="5">
        <f t="shared" si="0"/>
        <v>4</v>
      </c>
      <c r="G59" s="1" t="s">
        <v>1018</v>
      </c>
    </row>
    <row r="60" spans="1:7" x14ac:dyDescent="0.25">
      <c r="A60" s="5">
        <v>21</v>
      </c>
      <c r="B60" s="5" t="s">
        <v>53</v>
      </c>
      <c r="C60" s="88" t="s">
        <v>54</v>
      </c>
      <c r="D60" s="5">
        <v>2</v>
      </c>
      <c r="E60" s="5">
        <v>2</v>
      </c>
      <c r="F60" s="5">
        <f t="shared" si="0"/>
        <v>0</v>
      </c>
      <c r="G60" s="1" t="s">
        <v>159</v>
      </c>
    </row>
    <row r="61" spans="1:7" x14ac:dyDescent="0.25">
      <c r="A61" s="5">
        <v>21</v>
      </c>
      <c r="B61" s="5" t="s">
        <v>53</v>
      </c>
      <c r="C61" s="88" t="s">
        <v>275</v>
      </c>
      <c r="D61" s="5">
        <v>2</v>
      </c>
      <c r="E61" s="5">
        <v>2</v>
      </c>
      <c r="F61" s="5">
        <f t="shared" si="0"/>
        <v>0</v>
      </c>
      <c r="G61" s="1" t="s">
        <v>508</v>
      </c>
    </row>
    <row r="62" spans="1:7" x14ac:dyDescent="0.25">
      <c r="A62" s="5">
        <v>21</v>
      </c>
      <c r="B62" s="5" t="s">
        <v>53</v>
      </c>
      <c r="C62" s="88" t="s">
        <v>38</v>
      </c>
      <c r="D62" s="5">
        <v>34</v>
      </c>
      <c r="E62" s="5">
        <v>34</v>
      </c>
      <c r="F62" s="5">
        <f t="shared" si="0"/>
        <v>0</v>
      </c>
      <c r="G62" s="1" t="s">
        <v>970</v>
      </c>
    </row>
    <row r="63" spans="1:7" x14ac:dyDescent="0.25">
      <c r="A63" s="5">
        <v>21</v>
      </c>
      <c r="B63" s="5" t="s">
        <v>174</v>
      </c>
      <c r="C63" s="88" t="s">
        <v>506</v>
      </c>
      <c r="D63" s="5">
        <v>18</v>
      </c>
      <c r="E63" s="5">
        <v>18</v>
      </c>
      <c r="F63" s="5">
        <f t="shared" si="0"/>
        <v>0</v>
      </c>
      <c r="G63" s="1" t="s">
        <v>667</v>
      </c>
    </row>
    <row r="64" spans="1:7" x14ac:dyDescent="0.25">
      <c r="A64" s="5">
        <v>21</v>
      </c>
      <c r="B64" s="5" t="s">
        <v>174</v>
      </c>
      <c r="C64" s="88" t="s">
        <v>766</v>
      </c>
      <c r="D64" s="5">
        <v>6</v>
      </c>
      <c r="E64" s="5">
        <v>4</v>
      </c>
      <c r="F64" s="5">
        <f t="shared" si="0"/>
        <v>2</v>
      </c>
      <c r="G64" s="1" t="s">
        <v>767</v>
      </c>
    </row>
    <row r="65" spans="1:7" x14ac:dyDescent="0.25">
      <c r="A65" s="5">
        <v>21</v>
      </c>
      <c r="B65" s="5" t="s">
        <v>174</v>
      </c>
      <c r="C65" s="88" t="s">
        <v>260</v>
      </c>
      <c r="D65" s="5">
        <v>16</v>
      </c>
      <c r="E65" s="5">
        <v>12</v>
      </c>
      <c r="F65" s="5">
        <f t="shared" si="0"/>
        <v>4</v>
      </c>
      <c r="G65" s="1"/>
    </row>
    <row r="66" spans="1:7" x14ac:dyDescent="0.25">
      <c r="A66" s="5">
        <v>21</v>
      </c>
      <c r="B66" s="5" t="s">
        <v>174</v>
      </c>
      <c r="C66" s="88" t="s">
        <v>106</v>
      </c>
      <c r="D66" s="5">
        <v>2</v>
      </c>
      <c r="E66" s="5">
        <v>2</v>
      </c>
      <c r="F66" s="5">
        <f t="shared" si="0"/>
        <v>0</v>
      </c>
      <c r="G66" s="75">
        <v>2021</v>
      </c>
    </row>
    <row r="67" spans="1:7" x14ac:dyDescent="0.25">
      <c r="A67" s="5">
        <v>21</v>
      </c>
      <c r="B67" s="5" t="s">
        <v>59</v>
      </c>
      <c r="C67" s="88" t="s">
        <v>459</v>
      </c>
      <c r="D67" s="5">
        <v>6</v>
      </c>
      <c r="E67" s="5">
        <v>6</v>
      </c>
      <c r="F67" s="5">
        <f t="shared" si="0"/>
        <v>0</v>
      </c>
      <c r="G67" s="1"/>
    </row>
    <row r="68" spans="1:7" x14ac:dyDescent="0.25">
      <c r="A68" s="5">
        <v>21</v>
      </c>
      <c r="B68" s="5" t="s">
        <v>59</v>
      </c>
      <c r="C68" s="88" t="s">
        <v>766</v>
      </c>
      <c r="D68" s="5">
        <v>6</v>
      </c>
      <c r="E68" s="5">
        <v>4</v>
      </c>
      <c r="F68" s="5">
        <f t="shared" si="0"/>
        <v>2</v>
      </c>
      <c r="G68" s="1"/>
    </row>
    <row r="69" spans="1:7" x14ac:dyDescent="0.25">
      <c r="A69" s="5">
        <v>21</v>
      </c>
      <c r="B69" s="5" t="s">
        <v>59</v>
      </c>
      <c r="C69" s="88" t="s">
        <v>640</v>
      </c>
      <c r="D69" s="5">
        <v>6</v>
      </c>
      <c r="E69" s="5">
        <v>6</v>
      </c>
      <c r="F69" s="5">
        <f t="shared" si="0"/>
        <v>0</v>
      </c>
      <c r="G69" s="1"/>
    </row>
    <row r="70" spans="1:7" x14ac:dyDescent="0.25">
      <c r="A70" s="91"/>
      <c r="B70" s="91" t="s">
        <v>60</v>
      </c>
      <c r="C70" s="90"/>
      <c r="D70" s="91"/>
      <c r="E70" s="91"/>
      <c r="F70" s="91"/>
      <c r="G70" s="92"/>
    </row>
    <row r="71" spans="1:7" x14ac:dyDescent="0.25">
      <c r="A71" s="5">
        <v>21</v>
      </c>
      <c r="B71" s="5" t="s">
        <v>60</v>
      </c>
      <c r="C71" s="88" t="s">
        <v>209</v>
      </c>
      <c r="D71" s="5">
        <v>22</v>
      </c>
      <c r="E71" s="5">
        <v>22</v>
      </c>
      <c r="F71" s="5">
        <f t="shared" si="0"/>
        <v>0</v>
      </c>
      <c r="G71" s="1" t="s">
        <v>375</v>
      </c>
    </row>
    <row r="72" spans="1:7" x14ac:dyDescent="0.25">
      <c r="A72" s="5">
        <v>21</v>
      </c>
      <c r="B72" s="5" t="s">
        <v>60</v>
      </c>
      <c r="C72" s="88" t="s">
        <v>656</v>
      </c>
      <c r="D72" s="5">
        <v>6</v>
      </c>
      <c r="E72" s="5">
        <v>6</v>
      </c>
      <c r="F72" s="5">
        <f t="shared" si="0"/>
        <v>0</v>
      </c>
      <c r="G72" s="150" t="s">
        <v>1003</v>
      </c>
    </row>
    <row r="73" spans="1:7" x14ac:dyDescent="0.25">
      <c r="A73" s="5">
        <v>21</v>
      </c>
      <c r="B73" s="5" t="s">
        <v>60</v>
      </c>
      <c r="C73" s="88" t="s">
        <v>992</v>
      </c>
      <c r="D73" s="5">
        <v>40</v>
      </c>
      <c r="E73" s="5">
        <v>38</v>
      </c>
      <c r="F73" s="5">
        <f t="shared" si="0"/>
        <v>2</v>
      </c>
      <c r="G73" s="1" t="s">
        <v>938</v>
      </c>
    </row>
    <row r="74" spans="1:7" x14ac:dyDescent="0.25">
      <c r="A74" s="5">
        <v>21</v>
      </c>
      <c r="B74" s="5" t="s">
        <v>60</v>
      </c>
      <c r="C74" s="88" t="s">
        <v>105</v>
      </c>
      <c r="D74" s="5">
        <v>30</v>
      </c>
      <c r="E74" s="5">
        <v>30</v>
      </c>
      <c r="F74" s="5">
        <f t="shared" si="0"/>
        <v>0</v>
      </c>
      <c r="G74" s="1" t="s">
        <v>609</v>
      </c>
    </row>
    <row r="75" spans="1:7" x14ac:dyDescent="0.25">
      <c r="A75" s="5">
        <v>21</v>
      </c>
      <c r="B75" s="5" t="s">
        <v>60</v>
      </c>
      <c r="C75" s="88" t="s">
        <v>210</v>
      </c>
      <c r="D75" s="5">
        <v>14</v>
      </c>
      <c r="E75" s="5">
        <v>14</v>
      </c>
      <c r="F75" s="5">
        <f t="shared" si="0"/>
        <v>0</v>
      </c>
      <c r="G75" s="1" t="s">
        <v>159</v>
      </c>
    </row>
    <row r="76" spans="1:7" x14ac:dyDescent="0.25">
      <c r="A76" s="5">
        <v>21</v>
      </c>
      <c r="B76" s="5" t="s">
        <v>60</v>
      </c>
      <c r="C76" s="88" t="s">
        <v>484</v>
      </c>
      <c r="D76" s="5">
        <v>16</v>
      </c>
      <c r="E76" s="5">
        <v>16</v>
      </c>
      <c r="F76" s="5">
        <f t="shared" si="0"/>
        <v>0</v>
      </c>
      <c r="G76" s="1" t="s">
        <v>637</v>
      </c>
    </row>
    <row r="77" spans="1:7" x14ac:dyDescent="0.25">
      <c r="A77" s="5">
        <v>21</v>
      </c>
      <c r="B77" s="5" t="s">
        <v>60</v>
      </c>
      <c r="C77" s="88" t="s">
        <v>98</v>
      </c>
      <c r="D77" s="5">
        <v>46</v>
      </c>
      <c r="E77" s="5">
        <v>38</v>
      </c>
      <c r="F77" s="5">
        <f t="shared" si="0"/>
        <v>8</v>
      </c>
      <c r="G77" s="1" t="s">
        <v>647</v>
      </c>
    </row>
    <row r="78" spans="1:7" x14ac:dyDescent="0.25">
      <c r="A78" s="5">
        <v>21</v>
      </c>
      <c r="B78" s="5" t="s">
        <v>60</v>
      </c>
      <c r="C78" s="89" t="s">
        <v>142</v>
      </c>
      <c r="D78" s="5">
        <v>4</v>
      </c>
      <c r="E78" s="5">
        <v>4</v>
      </c>
      <c r="F78" s="5">
        <f t="shared" si="0"/>
        <v>0</v>
      </c>
      <c r="G78" s="1" t="s">
        <v>961</v>
      </c>
    </row>
    <row r="79" spans="1:7" x14ac:dyDescent="0.25">
      <c r="A79" s="5">
        <v>21</v>
      </c>
      <c r="B79" s="5" t="s">
        <v>60</v>
      </c>
      <c r="C79" s="89" t="s">
        <v>547</v>
      </c>
      <c r="D79" s="5">
        <v>2</v>
      </c>
      <c r="E79" s="5">
        <v>2</v>
      </c>
      <c r="F79" s="5">
        <f t="shared" si="0"/>
        <v>0</v>
      </c>
      <c r="G79" s="1" t="s">
        <v>159</v>
      </c>
    </row>
    <row r="80" spans="1:7" x14ac:dyDescent="0.25">
      <c r="A80" s="91"/>
      <c r="B80" s="91" t="s">
        <v>99</v>
      </c>
      <c r="C80" s="107"/>
      <c r="D80" s="91"/>
      <c r="E80" s="91"/>
      <c r="F80" s="91"/>
      <c r="G80" s="92"/>
    </row>
    <row r="81" spans="1:8" x14ac:dyDescent="0.25">
      <c r="A81" s="5">
        <v>21</v>
      </c>
      <c r="B81" s="5" t="s">
        <v>99</v>
      </c>
      <c r="C81" s="89" t="s">
        <v>483</v>
      </c>
      <c r="D81" s="5">
        <v>32</v>
      </c>
      <c r="E81" s="5">
        <v>32</v>
      </c>
      <c r="F81" s="5">
        <f t="shared" si="0"/>
        <v>0</v>
      </c>
      <c r="G81" s="1"/>
    </row>
    <row r="82" spans="1:8" x14ac:dyDescent="0.25">
      <c r="A82" s="5">
        <v>21</v>
      </c>
      <c r="B82" s="5" t="s">
        <v>99</v>
      </c>
      <c r="C82" s="89" t="s">
        <v>544</v>
      </c>
      <c r="D82" s="5">
        <v>10</v>
      </c>
      <c r="E82" s="5">
        <v>10</v>
      </c>
      <c r="F82" s="5">
        <f t="shared" si="0"/>
        <v>0</v>
      </c>
      <c r="G82" s="1" t="s">
        <v>159</v>
      </c>
    </row>
    <row r="83" spans="1:8" x14ac:dyDescent="0.25">
      <c r="A83" s="5">
        <v>21</v>
      </c>
      <c r="B83" s="5" t="s">
        <v>99</v>
      </c>
      <c r="C83" s="89" t="s">
        <v>122</v>
      </c>
      <c r="D83" s="5">
        <v>50</v>
      </c>
      <c r="E83" s="5">
        <v>50</v>
      </c>
      <c r="F83" s="5">
        <f t="shared" si="0"/>
        <v>0</v>
      </c>
      <c r="G83" s="1" t="s">
        <v>225</v>
      </c>
    </row>
    <row r="84" spans="1:8" x14ac:dyDescent="0.25">
      <c r="A84" s="5">
        <v>21</v>
      </c>
      <c r="B84" s="5" t="s">
        <v>99</v>
      </c>
      <c r="C84" s="89" t="s">
        <v>1031</v>
      </c>
      <c r="D84" s="5">
        <v>2</v>
      </c>
      <c r="E84" s="5"/>
      <c r="F84" s="5">
        <f t="shared" si="0"/>
        <v>2</v>
      </c>
      <c r="G84" s="1" t="s">
        <v>634</v>
      </c>
    </row>
    <row r="85" spans="1:8" x14ac:dyDescent="0.25">
      <c r="A85" s="5">
        <v>21</v>
      </c>
      <c r="B85" s="5" t="s">
        <v>62</v>
      </c>
      <c r="C85" s="89" t="s">
        <v>946</v>
      </c>
      <c r="D85" s="5">
        <v>2</v>
      </c>
      <c r="E85" s="5">
        <v>2</v>
      </c>
      <c r="F85" s="5">
        <f t="shared" si="0"/>
        <v>0</v>
      </c>
      <c r="G85" s="1"/>
    </row>
    <row r="86" spans="1:8" x14ac:dyDescent="0.25">
      <c r="A86" s="5">
        <v>21</v>
      </c>
      <c r="B86" s="5" t="s">
        <v>965</v>
      </c>
      <c r="C86" s="89" t="s">
        <v>966</v>
      </c>
      <c r="D86" s="5">
        <v>2</v>
      </c>
      <c r="E86" s="5"/>
      <c r="F86" s="5">
        <f t="shared" si="0"/>
        <v>2</v>
      </c>
      <c r="G86" s="1" t="s">
        <v>607</v>
      </c>
    </row>
    <row r="87" spans="1:8" x14ac:dyDescent="0.25">
      <c r="A87" s="5">
        <v>21</v>
      </c>
      <c r="B87" s="5" t="s">
        <v>281</v>
      </c>
      <c r="C87" s="89" t="s">
        <v>395</v>
      </c>
      <c r="D87" s="5">
        <v>10</v>
      </c>
      <c r="E87" s="5">
        <v>8</v>
      </c>
      <c r="F87" s="5">
        <f t="shared" si="0"/>
        <v>2</v>
      </c>
      <c r="G87" s="1"/>
    </row>
    <row r="88" spans="1:8" x14ac:dyDescent="0.25">
      <c r="A88" s="5">
        <v>21</v>
      </c>
      <c r="B88" s="5" t="s">
        <v>281</v>
      </c>
      <c r="C88" s="89" t="s">
        <v>557</v>
      </c>
      <c r="D88" s="5">
        <v>6</v>
      </c>
      <c r="E88" s="5">
        <v>2</v>
      </c>
      <c r="F88" s="5">
        <f t="shared" si="0"/>
        <v>4</v>
      </c>
      <c r="G88" s="1" t="s">
        <v>607</v>
      </c>
    </row>
    <row r="89" spans="1:8" x14ac:dyDescent="0.25">
      <c r="A89" s="5">
        <v>21</v>
      </c>
      <c r="B89" s="5" t="s">
        <v>64</v>
      </c>
      <c r="C89" s="89" t="s">
        <v>98</v>
      </c>
      <c r="D89" s="5">
        <v>18</v>
      </c>
      <c r="E89" s="5">
        <v>12</v>
      </c>
      <c r="F89" s="5">
        <f t="shared" si="0"/>
        <v>6</v>
      </c>
      <c r="G89" s="1" t="s">
        <v>695</v>
      </c>
      <c r="H89" t="s">
        <v>161</v>
      </c>
    </row>
    <row r="90" spans="1:8" x14ac:dyDescent="0.25">
      <c r="A90" s="5">
        <v>21</v>
      </c>
      <c r="B90" s="5" t="s">
        <v>64</v>
      </c>
      <c r="C90" s="89" t="s">
        <v>311</v>
      </c>
      <c r="D90" s="5">
        <v>26</v>
      </c>
      <c r="E90" s="5">
        <v>22</v>
      </c>
      <c r="F90" s="5">
        <f t="shared" si="0"/>
        <v>4</v>
      </c>
      <c r="G90" s="1" t="s">
        <v>823</v>
      </c>
    </row>
    <row r="91" spans="1:8" x14ac:dyDescent="0.25">
      <c r="A91" s="5">
        <v>21</v>
      </c>
      <c r="B91" s="5" t="s">
        <v>64</v>
      </c>
      <c r="C91" s="89" t="s">
        <v>586</v>
      </c>
      <c r="D91" s="5">
        <v>6</v>
      </c>
      <c r="E91" s="5">
        <v>6</v>
      </c>
      <c r="F91" s="5">
        <f t="shared" si="0"/>
        <v>0</v>
      </c>
      <c r="G91" s="1"/>
    </row>
    <row r="92" spans="1:8" x14ac:dyDescent="0.25">
      <c r="A92" s="5">
        <v>21</v>
      </c>
      <c r="B92" s="5" t="s">
        <v>64</v>
      </c>
      <c r="C92" s="89" t="s">
        <v>578</v>
      </c>
      <c r="D92" s="5">
        <v>2</v>
      </c>
      <c r="E92" s="5"/>
      <c r="F92" s="5">
        <f t="shared" si="0"/>
        <v>2</v>
      </c>
      <c r="G92" s="1"/>
    </row>
    <row r="93" spans="1:8" x14ac:dyDescent="0.25">
      <c r="A93" s="5">
        <v>21</v>
      </c>
      <c r="B93" s="5" t="s">
        <v>64</v>
      </c>
      <c r="C93" s="89" t="s">
        <v>848</v>
      </c>
      <c r="D93" s="5">
        <v>2</v>
      </c>
      <c r="E93" s="5">
        <v>2</v>
      </c>
      <c r="F93" s="5">
        <f t="shared" si="0"/>
        <v>0</v>
      </c>
      <c r="G93" s="1" t="s">
        <v>849</v>
      </c>
    </row>
    <row r="94" spans="1:8" x14ac:dyDescent="0.25">
      <c r="A94" s="5">
        <v>21</v>
      </c>
      <c r="B94" s="5" t="s">
        <v>64</v>
      </c>
      <c r="C94" s="89" t="s">
        <v>766</v>
      </c>
      <c r="D94" s="5">
        <v>12</v>
      </c>
      <c r="E94" s="5">
        <v>12</v>
      </c>
      <c r="F94" s="5">
        <f t="shared" si="0"/>
        <v>0</v>
      </c>
      <c r="G94" s="1"/>
    </row>
    <row r="95" spans="1:8" x14ac:dyDescent="0.25">
      <c r="A95" s="5">
        <v>21</v>
      </c>
      <c r="B95" s="5" t="s">
        <v>64</v>
      </c>
      <c r="C95" s="89" t="s">
        <v>928</v>
      </c>
      <c r="D95" s="5">
        <v>2</v>
      </c>
      <c r="E95" s="5">
        <v>2</v>
      </c>
      <c r="F95" s="5">
        <f t="shared" si="0"/>
        <v>0</v>
      </c>
      <c r="G95" s="1"/>
    </row>
    <row r="96" spans="1:8" x14ac:dyDescent="0.25">
      <c r="A96" s="5">
        <v>21</v>
      </c>
      <c r="B96" s="5" t="s">
        <v>64</v>
      </c>
      <c r="C96" s="89" t="s">
        <v>883</v>
      </c>
      <c r="D96" s="5">
        <v>2</v>
      </c>
      <c r="E96" s="5"/>
      <c r="F96" s="5">
        <f t="shared" si="0"/>
        <v>2</v>
      </c>
      <c r="G96" s="1" t="s">
        <v>354</v>
      </c>
    </row>
    <row r="97" spans="1:7" x14ac:dyDescent="0.25">
      <c r="A97" s="5">
        <v>21</v>
      </c>
      <c r="B97" s="5" t="s">
        <v>143</v>
      </c>
      <c r="C97" s="89" t="s">
        <v>878</v>
      </c>
      <c r="D97" s="5">
        <v>4</v>
      </c>
      <c r="E97" s="5">
        <v>4</v>
      </c>
      <c r="F97" s="5">
        <f t="shared" si="0"/>
        <v>0</v>
      </c>
      <c r="G97" s="1" t="s">
        <v>354</v>
      </c>
    </row>
    <row r="98" spans="1:7" x14ac:dyDescent="0.25">
      <c r="A98" s="5">
        <v>21</v>
      </c>
      <c r="B98" s="5" t="s">
        <v>143</v>
      </c>
      <c r="C98" s="89" t="s">
        <v>929</v>
      </c>
      <c r="D98" s="5">
        <v>2</v>
      </c>
      <c r="E98" s="5">
        <v>2</v>
      </c>
      <c r="F98" s="5">
        <f t="shared" si="0"/>
        <v>0</v>
      </c>
      <c r="G98" s="1"/>
    </row>
    <row r="99" spans="1:7" x14ac:dyDescent="0.25">
      <c r="A99" s="5">
        <v>21</v>
      </c>
      <c r="B99" s="5" t="s">
        <v>143</v>
      </c>
      <c r="C99" s="89" t="s">
        <v>136</v>
      </c>
      <c r="D99" s="5">
        <v>8</v>
      </c>
      <c r="E99" s="5">
        <v>8</v>
      </c>
      <c r="F99" s="5">
        <f t="shared" si="0"/>
        <v>0</v>
      </c>
      <c r="G99" s="1"/>
    </row>
    <row r="100" spans="1:7" x14ac:dyDescent="0.25">
      <c r="A100" s="5">
        <v>21</v>
      </c>
      <c r="B100" s="5" t="s">
        <v>143</v>
      </c>
      <c r="C100" s="89" t="s">
        <v>885</v>
      </c>
      <c r="D100" s="5">
        <v>2</v>
      </c>
      <c r="E100" s="5"/>
      <c r="F100" s="5">
        <f t="shared" si="0"/>
        <v>2</v>
      </c>
      <c r="G100" s="1" t="s">
        <v>159</v>
      </c>
    </row>
    <row r="101" spans="1:7" x14ac:dyDescent="0.25">
      <c r="A101" s="5">
        <v>21</v>
      </c>
      <c r="B101" s="5" t="s">
        <v>326</v>
      </c>
      <c r="C101" s="89" t="s">
        <v>895</v>
      </c>
      <c r="D101" s="5">
        <v>8</v>
      </c>
      <c r="E101" s="5">
        <v>8</v>
      </c>
      <c r="F101" s="5">
        <f>D101-E101</f>
        <v>0</v>
      </c>
      <c r="G101" s="1"/>
    </row>
    <row r="102" spans="1:7" x14ac:dyDescent="0.25">
      <c r="A102" s="5">
        <v>21</v>
      </c>
      <c r="B102" s="5" t="s">
        <v>326</v>
      </c>
      <c r="C102" s="89" t="s">
        <v>459</v>
      </c>
      <c r="D102" s="5">
        <v>2</v>
      </c>
      <c r="E102" s="5"/>
      <c r="F102" s="5">
        <f>D102-E102</f>
        <v>2</v>
      </c>
      <c r="G102" s="1" t="s">
        <v>607</v>
      </c>
    </row>
    <row r="103" spans="1:7" x14ac:dyDescent="0.25">
      <c r="A103" s="5">
        <v>21</v>
      </c>
      <c r="B103" s="5" t="s">
        <v>326</v>
      </c>
      <c r="C103" s="89" t="s">
        <v>405</v>
      </c>
      <c r="D103" s="5">
        <v>38</v>
      </c>
      <c r="E103" s="5">
        <v>38</v>
      </c>
      <c r="F103" s="5">
        <f t="shared" si="0"/>
        <v>0</v>
      </c>
      <c r="G103" s="1" t="s">
        <v>159</v>
      </c>
    </row>
    <row r="104" spans="1:7" ht="15.75" thickBot="1" x14ac:dyDescent="0.3">
      <c r="A104" s="5"/>
      <c r="B104" s="1"/>
      <c r="C104" s="49" t="s">
        <v>47</v>
      </c>
      <c r="D104" s="50">
        <f>SUM(D2:D103)</f>
        <v>1315</v>
      </c>
      <c r="E104" s="138">
        <f>SUM(E2:E77)</f>
        <v>901</v>
      </c>
      <c r="F104" s="31">
        <f>SUM(F2:F99)</f>
        <v>184</v>
      </c>
      <c r="G104" s="1"/>
    </row>
  </sheetData>
  <sortState xmlns:xlrd2="http://schemas.microsoft.com/office/spreadsheetml/2017/richdata2" ref="A2:G9">
    <sortCondition ref="B2"/>
  </sortState>
  <pageMargins left="0.7" right="0.7" top="0.75" bottom="0.75" header="0.3" footer="0.3"/>
  <pageSetup paperSize="1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23"/>
  <sheetViews>
    <sheetView topLeftCell="A22" zoomScale="150" zoomScaleNormal="150" workbookViewId="0">
      <selection activeCell="E33" sqref="E33"/>
    </sheetView>
  </sheetViews>
  <sheetFormatPr defaultRowHeight="15" x14ac:dyDescent="0.25"/>
  <cols>
    <col min="2" max="2" width="13.7109375" customWidth="1"/>
    <col min="3" max="3" width="24.42578125" customWidth="1"/>
    <col min="7" max="7" width="15.7109375" customWidth="1"/>
  </cols>
  <sheetData>
    <row r="1" spans="1:7" x14ac:dyDescent="0.25">
      <c r="A1" s="154" t="s">
        <v>0</v>
      </c>
      <c r="B1" s="154" t="s">
        <v>1</v>
      </c>
      <c r="C1" s="154" t="s">
        <v>2</v>
      </c>
      <c r="D1" s="155" t="s">
        <v>3</v>
      </c>
      <c r="E1" s="155" t="s">
        <v>4</v>
      </c>
      <c r="F1" s="155" t="s">
        <v>5</v>
      </c>
      <c r="G1" s="155" t="s">
        <v>6</v>
      </c>
    </row>
    <row r="2" spans="1:7" x14ac:dyDescent="0.25">
      <c r="A2" s="61">
        <v>22</v>
      </c>
      <c r="B2" s="61" t="s">
        <v>88</v>
      </c>
      <c r="C2" s="61" t="s">
        <v>106</v>
      </c>
      <c r="D2" s="62">
        <v>4</v>
      </c>
      <c r="E2" s="62"/>
      <c r="F2" s="62">
        <f t="shared" ref="F2:F45" si="0">D2-E2</f>
        <v>4</v>
      </c>
      <c r="G2" s="62"/>
    </row>
    <row r="3" spans="1:7" x14ac:dyDescent="0.25">
      <c r="A3" s="61">
        <v>22</v>
      </c>
      <c r="B3" s="61" t="s">
        <v>50</v>
      </c>
      <c r="C3" s="61" t="s">
        <v>40</v>
      </c>
      <c r="D3" s="62">
        <v>2</v>
      </c>
      <c r="E3" s="62"/>
      <c r="F3" s="62">
        <f t="shared" si="0"/>
        <v>2</v>
      </c>
      <c r="G3" s="62"/>
    </row>
    <row r="4" spans="1:7" x14ac:dyDescent="0.25">
      <c r="A4" s="61">
        <v>22</v>
      </c>
      <c r="B4" s="61" t="s">
        <v>50</v>
      </c>
      <c r="C4" s="61" t="s">
        <v>498</v>
      </c>
      <c r="D4" s="62">
        <v>6</v>
      </c>
      <c r="E4" s="62">
        <v>4</v>
      </c>
      <c r="F4" s="62">
        <f t="shared" si="0"/>
        <v>2</v>
      </c>
      <c r="G4" s="62"/>
    </row>
    <row r="5" spans="1:7" x14ac:dyDescent="0.25">
      <c r="A5" s="61">
        <v>22</v>
      </c>
      <c r="B5" s="61" t="s">
        <v>51</v>
      </c>
      <c r="C5" s="61" t="s">
        <v>484</v>
      </c>
      <c r="D5" s="62">
        <v>4</v>
      </c>
      <c r="E5" s="62">
        <v>4</v>
      </c>
      <c r="F5" s="62">
        <f t="shared" si="0"/>
        <v>0</v>
      </c>
      <c r="G5" s="62" t="s">
        <v>964</v>
      </c>
    </row>
    <row r="6" spans="1:7" x14ac:dyDescent="0.25">
      <c r="A6" s="61">
        <v>22</v>
      </c>
      <c r="B6" s="61" t="s">
        <v>51</v>
      </c>
      <c r="C6" s="61" t="s">
        <v>181</v>
      </c>
      <c r="D6" s="62">
        <v>6</v>
      </c>
      <c r="E6" s="62">
        <v>4</v>
      </c>
      <c r="F6" s="62">
        <f t="shared" si="0"/>
        <v>2</v>
      </c>
      <c r="G6" s="62" t="s">
        <v>158</v>
      </c>
    </row>
    <row r="7" spans="1:7" x14ac:dyDescent="0.25">
      <c r="A7" s="61">
        <v>22</v>
      </c>
      <c r="B7" s="61" t="s">
        <v>51</v>
      </c>
      <c r="C7" s="61" t="s">
        <v>519</v>
      </c>
      <c r="D7" s="62">
        <v>12</v>
      </c>
      <c r="E7" s="62">
        <v>12</v>
      </c>
      <c r="F7" s="62">
        <f t="shared" si="0"/>
        <v>0</v>
      </c>
      <c r="G7" s="62"/>
    </row>
    <row r="8" spans="1:7" x14ac:dyDescent="0.25">
      <c r="A8" s="61">
        <v>22</v>
      </c>
      <c r="B8" s="61" t="s">
        <v>51</v>
      </c>
      <c r="C8" s="61" t="s">
        <v>122</v>
      </c>
      <c r="D8" s="62">
        <v>6</v>
      </c>
      <c r="E8" s="62">
        <v>6</v>
      </c>
      <c r="F8" s="62">
        <f t="shared" si="0"/>
        <v>0</v>
      </c>
      <c r="G8" s="62"/>
    </row>
    <row r="9" spans="1:7" x14ac:dyDescent="0.25">
      <c r="A9" s="61">
        <v>20</v>
      </c>
      <c r="B9" s="61" t="s">
        <v>51</v>
      </c>
      <c r="C9" s="61" t="s">
        <v>175</v>
      </c>
      <c r="D9" s="62">
        <v>2</v>
      </c>
      <c r="E9" s="62"/>
      <c r="F9" s="62">
        <f t="shared" si="0"/>
        <v>2</v>
      </c>
      <c r="G9" s="62" t="s">
        <v>158</v>
      </c>
    </row>
    <row r="10" spans="1:7" x14ac:dyDescent="0.25">
      <c r="A10" s="61">
        <v>22</v>
      </c>
      <c r="B10" s="61" t="s">
        <v>51</v>
      </c>
      <c r="C10" s="61" t="s">
        <v>498</v>
      </c>
      <c r="D10" s="62">
        <v>2</v>
      </c>
      <c r="E10" s="62">
        <v>2</v>
      </c>
      <c r="F10" s="62">
        <f t="shared" si="0"/>
        <v>0</v>
      </c>
      <c r="G10" s="62"/>
    </row>
    <row r="11" spans="1:7" x14ac:dyDescent="0.25">
      <c r="A11" s="61">
        <v>22</v>
      </c>
      <c r="B11" s="61" t="s">
        <v>51</v>
      </c>
      <c r="C11" s="61" t="s">
        <v>789</v>
      </c>
      <c r="D11" s="62">
        <v>4</v>
      </c>
      <c r="E11" s="62"/>
      <c r="F11" s="62">
        <f t="shared" si="0"/>
        <v>4</v>
      </c>
      <c r="G11" s="62" t="s">
        <v>786</v>
      </c>
    </row>
    <row r="12" spans="1:7" x14ac:dyDescent="0.25">
      <c r="A12" s="5">
        <v>22</v>
      </c>
      <c r="B12" s="5" t="s">
        <v>92</v>
      </c>
      <c r="C12" s="128" t="s">
        <v>374</v>
      </c>
      <c r="D12" s="5">
        <v>118</v>
      </c>
      <c r="E12" s="5">
        <v>114</v>
      </c>
      <c r="F12" s="5">
        <f t="shared" si="0"/>
        <v>4</v>
      </c>
      <c r="G12" s="117" t="s">
        <v>158</v>
      </c>
    </row>
    <row r="13" spans="1:7" x14ac:dyDescent="0.25">
      <c r="A13" s="5">
        <v>22</v>
      </c>
      <c r="B13" s="5" t="s">
        <v>92</v>
      </c>
      <c r="C13" s="128" t="s">
        <v>363</v>
      </c>
      <c r="D13" s="5">
        <v>38</v>
      </c>
      <c r="E13" s="5">
        <v>38</v>
      </c>
      <c r="F13" s="5">
        <f t="shared" si="0"/>
        <v>0</v>
      </c>
      <c r="G13" s="117" t="s">
        <v>517</v>
      </c>
    </row>
    <row r="14" spans="1:7" x14ac:dyDescent="0.25">
      <c r="A14" s="5">
        <v>22</v>
      </c>
      <c r="B14" s="5" t="s">
        <v>96</v>
      </c>
      <c r="C14" s="128" t="s">
        <v>106</v>
      </c>
      <c r="D14" s="5">
        <v>4</v>
      </c>
      <c r="E14" s="5">
        <v>2</v>
      </c>
      <c r="F14" s="5">
        <f t="shared" si="0"/>
        <v>2</v>
      </c>
      <c r="G14" s="117"/>
    </row>
    <row r="15" spans="1:7" x14ac:dyDescent="0.25">
      <c r="A15" s="5">
        <v>22</v>
      </c>
      <c r="B15" s="5" t="s">
        <v>53</v>
      </c>
      <c r="C15" s="128" t="s">
        <v>681</v>
      </c>
      <c r="D15" s="5">
        <v>2</v>
      </c>
      <c r="E15" s="5"/>
      <c r="F15" s="5">
        <f t="shared" si="0"/>
        <v>2</v>
      </c>
      <c r="G15" s="117"/>
    </row>
    <row r="16" spans="1:7" x14ac:dyDescent="0.25">
      <c r="A16" s="5">
        <v>22</v>
      </c>
      <c r="B16" s="5" t="s">
        <v>53</v>
      </c>
      <c r="C16" s="128" t="s">
        <v>279</v>
      </c>
      <c r="D16" s="5">
        <v>18</v>
      </c>
      <c r="E16" s="5">
        <v>14</v>
      </c>
      <c r="F16" s="5">
        <f t="shared" si="0"/>
        <v>4</v>
      </c>
      <c r="G16" s="117" t="s">
        <v>158</v>
      </c>
    </row>
    <row r="17" spans="1:8" x14ac:dyDescent="0.25">
      <c r="A17" s="5">
        <v>22</v>
      </c>
      <c r="B17" s="5" t="s">
        <v>174</v>
      </c>
      <c r="C17" s="128" t="s">
        <v>785</v>
      </c>
      <c r="D17" s="5">
        <v>4</v>
      </c>
      <c r="E17" s="5"/>
      <c r="F17" s="5">
        <f t="shared" si="0"/>
        <v>4</v>
      </c>
      <c r="G17" s="117" t="s">
        <v>786</v>
      </c>
    </row>
    <row r="18" spans="1:8" x14ac:dyDescent="0.25">
      <c r="A18" s="5">
        <v>22</v>
      </c>
      <c r="B18" s="5" t="s">
        <v>174</v>
      </c>
      <c r="C18" s="128" t="s">
        <v>614</v>
      </c>
      <c r="D18" s="5">
        <v>28</v>
      </c>
      <c r="E18" s="5">
        <v>26</v>
      </c>
      <c r="F18" s="5">
        <f t="shared" si="0"/>
        <v>2</v>
      </c>
      <c r="G18" s="117" t="s">
        <v>158</v>
      </c>
    </row>
    <row r="19" spans="1:8" x14ac:dyDescent="0.25">
      <c r="A19" s="5">
        <v>22</v>
      </c>
      <c r="B19" s="5" t="s">
        <v>174</v>
      </c>
      <c r="C19" s="128" t="s">
        <v>590</v>
      </c>
      <c r="D19" s="5">
        <v>2</v>
      </c>
      <c r="E19" s="5">
        <v>2</v>
      </c>
      <c r="F19" s="5">
        <f t="shared" si="0"/>
        <v>0</v>
      </c>
      <c r="G19" s="117"/>
    </row>
    <row r="20" spans="1:8" x14ac:dyDescent="0.25">
      <c r="A20" s="5">
        <v>22</v>
      </c>
      <c r="B20" s="5" t="s">
        <v>174</v>
      </c>
      <c r="C20" s="128" t="s">
        <v>175</v>
      </c>
      <c r="D20" s="5">
        <v>4</v>
      </c>
      <c r="E20" s="5">
        <v>2</v>
      </c>
      <c r="F20" s="5">
        <f t="shared" si="0"/>
        <v>2</v>
      </c>
      <c r="G20" s="117" t="s">
        <v>158</v>
      </c>
    </row>
    <row r="21" spans="1:8" x14ac:dyDescent="0.25">
      <c r="A21" s="5">
        <v>22</v>
      </c>
      <c r="B21" s="5" t="s">
        <v>174</v>
      </c>
      <c r="C21" s="128" t="s">
        <v>271</v>
      </c>
      <c r="D21" s="5">
        <v>2</v>
      </c>
      <c r="E21" s="5">
        <v>2</v>
      </c>
      <c r="F21" s="5">
        <f t="shared" si="0"/>
        <v>0</v>
      </c>
      <c r="G21" s="117" t="s">
        <v>158</v>
      </c>
    </row>
    <row r="22" spans="1:8" x14ac:dyDescent="0.25">
      <c r="A22" s="5">
        <v>22</v>
      </c>
      <c r="B22" s="5" t="s">
        <v>174</v>
      </c>
      <c r="C22" s="128" t="s">
        <v>191</v>
      </c>
      <c r="D22" s="5">
        <v>4</v>
      </c>
      <c r="E22" s="5">
        <v>4</v>
      </c>
      <c r="F22" s="5">
        <f t="shared" si="0"/>
        <v>0</v>
      </c>
      <c r="G22" s="117" t="s">
        <v>607</v>
      </c>
    </row>
    <row r="23" spans="1:8" x14ac:dyDescent="0.25">
      <c r="A23" s="5">
        <v>22</v>
      </c>
      <c r="B23" s="5" t="s">
        <v>174</v>
      </c>
      <c r="C23" s="128" t="s">
        <v>704</v>
      </c>
      <c r="D23" s="5">
        <v>6</v>
      </c>
      <c r="E23" s="5">
        <v>6</v>
      </c>
      <c r="F23" s="5">
        <f t="shared" si="0"/>
        <v>0</v>
      </c>
      <c r="G23" s="117"/>
    </row>
    <row r="24" spans="1:8" x14ac:dyDescent="0.25">
      <c r="A24" s="5">
        <v>22</v>
      </c>
      <c r="B24" s="5" t="s">
        <v>59</v>
      </c>
      <c r="C24" s="128" t="s">
        <v>558</v>
      </c>
      <c r="D24" s="5">
        <v>4</v>
      </c>
      <c r="E24" s="5"/>
      <c r="F24" s="5">
        <f t="shared" si="0"/>
        <v>4</v>
      </c>
      <c r="G24" s="117"/>
    </row>
    <row r="25" spans="1:8" x14ac:dyDescent="0.25">
      <c r="A25" s="5">
        <v>22</v>
      </c>
      <c r="B25" s="5" t="s">
        <v>59</v>
      </c>
      <c r="C25" s="128" t="s">
        <v>431</v>
      </c>
      <c r="D25" s="5">
        <v>84</v>
      </c>
      <c r="E25" s="5">
        <v>80</v>
      </c>
      <c r="F25" s="5">
        <f t="shared" si="0"/>
        <v>4</v>
      </c>
      <c r="G25" s="75" t="s">
        <v>158</v>
      </c>
      <c r="H25" t="s">
        <v>370</v>
      </c>
    </row>
    <row r="26" spans="1:8" x14ac:dyDescent="0.25">
      <c r="A26" s="5">
        <v>22</v>
      </c>
      <c r="B26" s="5" t="s">
        <v>59</v>
      </c>
      <c r="C26" s="128" t="s">
        <v>363</v>
      </c>
      <c r="D26" s="5">
        <v>56</v>
      </c>
      <c r="E26" s="5">
        <v>36</v>
      </c>
      <c r="F26" s="5">
        <f t="shared" si="0"/>
        <v>20</v>
      </c>
      <c r="G26" s="75" t="s">
        <v>158</v>
      </c>
    </row>
    <row r="27" spans="1:8" x14ac:dyDescent="0.25">
      <c r="A27" s="5">
        <v>22</v>
      </c>
      <c r="B27" s="5" t="s">
        <v>59</v>
      </c>
      <c r="C27" s="128" t="s">
        <v>887</v>
      </c>
      <c r="D27" s="5">
        <v>6</v>
      </c>
      <c r="E27" s="5">
        <v>2</v>
      </c>
      <c r="F27" s="5">
        <f t="shared" si="0"/>
        <v>4</v>
      </c>
      <c r="G27" s="75"/>
    </row>
    <row r="28" spans="1:8" x14ac:dyDescent="0.25">
      <c r="A28" s="5">
        <v>22</v>
      </c>
      <c r="B28" s="5" t="s">
        <v>59</v>
      </c>
      <c r="C28" s="128" t="s">
        <v>229</v>
      </c>
      <c r="D28" s="5">
        <v>8</v>
      </c>
      <c r="E28" s="5">
        <v>8</v>
      </c>
      <c r="F28" s="5">
        <f t="shared" si="0"/>
        <v>0</v>
      </c>
      <c r="G28" s="75"/>
    </row>
    <row r="29" spans="1:8" x14ac:dyDescent="0.25">
      <c r="A29" s="5">
        <v>22</v>
      </c>
      <c r="B29" s="5" t="s">
        <v>59</v>
      </c>
      <c r="C29" s="128" t="s">
        <v>888</v>
      </c>
      <c r="D29" s="5">
        <v>2</v>
      </c>
      <c r="E29" s="5"/>
      <c r="F29" s="5">
        <f t="shared" si="0"/>
        <v>2</v>
      </c>
      <c r="G29" s="75"/>
    </row>
    <row r="30" spans="1:8" x14ac:dyDescent="0.25">
      <c r="A30" s="5">
        <v>22</v>
      </c>
      <c r="B30" s="5" t="s">
        <v>99</v>
      </c>
      <c r="C30" s="128" t="s">
        <v>620</v>
      </c>
      <c r="D30" s="5">
        <v>2</v>
      </c>
      <c r="E30" s="5"/>
      <c r="F30" s="5">
        <f t="shared" si="0"/>
        <v>2</v>
      </c>
      <c r="G30" s="75" t="s">
        <v>158</v>
      </c>
    </row>
    <row r="31" spans="1:8" x14ac:dyDescent="0.25">
      <c r="A31" s="5">
        <v>22</v>
      </c>
      <c r="B31" s="5" t="s">
        <v>99</v>
      </c>
      <c r="C31" s="128" t="s">
        <v>545</v>
      </c>
      <c r="D31" s="5">
        <v>4</v>
      </c>
      <c r="E31" s="5">
        <v>4</v>
      </c>
      <c r="F31" s="5">
        <f t="shared" si="0"/>
        <v>0</v>
      </c>
      <c r="G31" s="75" t="s">
        <v>158</v>
      </c>
    </row>
    <row r="32" spans="1:8" x14ac:dyDescent="0.25">
      <c r="A32" s="5">
        <v>22</v>
      </c>
      <c r="B32" s="5" t="s">
        <v>438</v>
      </c>
      <c r="C32" s="128" t="s">
        <v>439</v>
      </c>
      <c r="D32" s="5">
        <v>2</v>
      </c>
      <c r="E32" s="5"/>
      <c r="F32" s="5">
        <f t="shared" si="0"/>
        <v>2</v>
      </c>
      <c r="G32" s="75" t="s">
        <v>446</v>
      </c>
    </row>
    <row r="33" spans="1:8" x14ac:dyDescent="0.25">
      <c r="A33" s="5">
        <v>22</v>
      </c>
      <c r="B33" s="5" t="s">
        <v>281</v>
      </c>
      <c r="C33" s="128" t="s">
        <v>498</v>
      </c>
      <c r="D33" s="5">
        <v>6</v>
      </c>
      <c r="E33" s="5">
        <v>5</v>
      </c>
      <c r="F33" s="5">
        <f t="shared" si="0"/>
        <v>1</v>
      </c>
      <c r="G33" s="75"/>
    </row>
    <row r="34" spans="1:8" x14ac:dyDescent="0.25">
      <c r="A34" s="5">
        <v>22</v>
      </c>
      <c r="B34" s="5" t="s">
        <v>281</v>
      </c>
      <c r="C34" s="128" t="s">
        <v>98</v>
      </c>
      <c r="D34" s="5">
        <v>8</v>
      </c>
      <c r="E34" s="5">
        <v>8</v>
      </c>
      <c r="F34" s="5">
        <f t="shared" si="0"/>
        <v>0</v>
      </c>
      <c r="G34" s="75"/>
      <c r="H34" t="s">
        <v>305</v>
      </c>
    </row>
    <row r="35" spans="1:8" x14ac:dyDescent="0.25">
      <c r="A35" s="5">
        <v>22</v>
      </c>
      <c r="B35" s="5" t="s">
        <v>281</v>
      </c>
      <c r="C35" s="128" t="s">
        <v>614</v>
      </c>
      <c r="D35" s="5">
        <v>2</v>
      </c>
      <c r="E35" s="5">
        <v>2</v>
      </c>
      <c r="F35" s="5">
        <f t="shared" si="0"/>
        <v>0</v>
      </c>
      <c r="G35" s="75" t="s">
        <v>607</v>
      </c>
    </row>
    <row r="36" spans="1:8" x14ac:dyDescent="0.25">
      <c r="A36" s="5">
        <v>22</v>
      </c>
      <c r="B36" s="5" t="s">
        <v>281</v>
      </c>
      <c r="C36" s="128" t="s">
        <v>395</v>
      </c>
      <c r="D36" s="5">
        <v>4</v>
      </c>
      <c r="E36" s="5">
        <v>4</v>
      </c>
      <c r="F36" s="5">
        <f t="shared" si="0"/>
        <v>0</v>
      </c>
      <c r="G36" s="75"/>
    </row>
    <row r="37" spans="1:8" x14ac:dyDescent="0.25">
      <c r="A37" s="5">
        <v>22</v>
      </c>
      <c r="B37" s="5" t="s">
        <v>64</v>
      </c>
      <c r="C37" s="128" t="s">
        <v>498</v>
      </c>
      <c r="D37" s="5">
        <v>2</v>
      </c>
      <c r="E37" s="5">
        <v>2</v>
      </c>
      <c r="F37" s="5">
        <f t="shared" si="0"/>
        <v>0</v>
      </c>
      <c r="G37" s="75"/>
    </row>
    <row r="38" spans="1:8" x14ac:dyDescent="0.25">
      <c r="A38" s="5">
        <v>22</v>
      </c>
      <c r="B38" s="5" t="s">
        <v>64</v>
      </c>
      <c r="C38" s="128" t="s">
        <v>789</v>
      </c>
      <c r="D38" s="5">
        <v>4</v>
      </c>
      <c r="E38" s="5"/>
      <c r="F38" s="5">
        <f t="shared" si="0"/>
        <v>4</v>
      </c>
      <c r="G38" s="75" t="s">
        <v>786</v>
      </c>
    </row>
    <row r="39" spans="1:8" x14ac:dyDescent="0.25">
      <c r="A39" s="5">
        <v>22</v>
      </c>
      <c r="B39" s="5" t="s">
        <v>173</v>
      </c>
      <c r="C39" s="128" t="s">
        <v>785</v>
      </c>
      <c r="D39" s="5">
        <v>4</v>
      </c>
      <c r="E39" s="5"/>
      <c r="F39" s="5">
        <f t="shared" si="0"/>
        <v>4</v>
      </c>
      <c r="G39" s="75" t="s">
        <v>786</v>
      </c>
    </row>
    <row r="40" spans="1:8" x14ac:dyDescent="0.25">
      <c r="A40" s="5">
        <v>22</v>
      </c>
      <c r="B40" s="5" t="s">
        <v>173</v>
      </c>
      <c r="C40" s="128" t="s">
        <v>611</v>
      </c>
      <c r="D40" s="5">
        <v>2</v>
      </c>
      <c r="E40" s="5">
        <v>2</v>
      </c>
      <c r="F40" s="5">
        <f t="shared" si="0"/>
        <v>0</v>
      </c>
      <c r="G40" s="75" t="s">
        <v>607</v>
      </c>
    </row>
    <row r="41" spans="1:8" x14ac:dyDescent="0.25">
      <c r="A41" s="5">
        <v>22</v>
      </c>
      <c r="B41" s="5" t="s">
        <v>173</v>
      </c>
      <c r="C41" s="128" t="s">
        <v>613</v>
      </c>
      <c r="D41" s="5">
        <v>4</v>
      </c>
      <c r="E41" s="5">
        <v>4</v>
      </c>
      <c r="F41" s="5">
        <f t="shared" si="0"/>
        <v>0</v>
      </c>
      <c r="G41" s="75" t="s">
        <v>207</v>
      </c>
    </row>
    <row r="42" spans="1:8" x14ac:dyDescent="0.25">
      <c r="A42" s="5">
        <v>22</v>
      </c>
      <c r="B42" s="5" t="s">
        <v>173</v>
      </c>
      <c r="C42" s="128" t="s">
        <v>620</v>
      </c>
      <c r="D42" s="5">
        <v>6</v>
      </c>
      <c r="E42" s="5">
        <v>6</v>
      </c>
      <c r="F42" s="5">
        <f t="shared" si="0"/>
        <v>0</v>
      </c>
      <c r="G42" s="75" t="s">
        <v>705</v>
      </c>
    </row>
    <row r="43" spans="1:8" x14ac:dyDescent="0.25">
      <c r="A43" s="5">
        <v>23</v>
      </c>
      <c r="B43" s="5" t="s">
        <v>53</v>
      </c>
      <c r="C43" s="128" t="s">
        <v>706</v>
      </c>
      <c r="D43" s="5">
        <v>2</v>
      </c>
      <c r="E43" s="5"/>
      <c r="F43" s="5">
        <f t="shared" si="0"/>
        <v>2</v>
      </c>
      <c r="G43" s="75" t="s">
        <v>607</v>
      </c>
    </row>
    <row r="44" spans="1:8" x14ac:dyDescent="0.25">
      <c r="A44" s="5">
        <v>23</v>
      </c>
      <c r="B44" s="5" t="s">
        <v>326</v>
      </c>
      <c r="C44" s="128" t="s">
        <v>885</v>
      </c>
      <c r="D44" s="5">
        <v>6</v>
      </c>
      <c r="E44" s="5">
        <v>2</v>
      </c>
      <c r="F44" s="5">
        <f t="shared" si="0"/>
        <v>4</v>
      </c>
      <c r="G44" s="75" t="s">
        <v>896</v>
      </c>
    </row>
    <row r="45" spans="1:8" x14ac:dyDescent="0.25">
      <c r="A45" s="5">
        <v>23</v>
      </c>
      <c r="B45" s="5" t="s">
        <v>60</v>
      </c>
      <c r="C45" s="128" t="s">
        <v>489</v>
      </c>
      <c r="D45" s="5">
        <v>2</v>
      </c>
      <c r="E45" s="5"/>
      <c r="F45" s="5">
        <f t="shared" si="0"/>
        <v>2</v>
      </c>
      <c r="G45" s="75"/>
    </row>
    <row r="46" spans="1:8" ht="15.75" thickBot="1" x14ac:dyDescent="0.3">
      <c r="A46" s="146"/>
      <c r="B46" s="146"/>
      <c r="C46" s="49" t="s">
        <v>47</v>
      </c>
      <c r="D46" s="50">
        <f>SUM(D2:D45)</f>
        <v>498</v>
      </c>
      <c r="E46" s="138">
        <f>SUM(E12:E45)</f>
        <v>375</v>
      </c>
      <c r="F46" s="147">
        <f>SUM(F2:F45)</f>
        <v>91</v>
      </c>
    </row>
    <row r="223" spans="8:8" x14ac:dyDescent="0.25">
      <c r="H223" t="e">
        <v>#VALUE!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10"/>
  <sheetViews>
    <sheetView topLeftCell="A94" zoomScaleNormal="100" workbookViewId="0">
      <selection activeCell="H1" sqref="H1"/>
    </sheetView>
  </sheetViews>
  <sheetFormatPr defaultColWidth="9.140625" defaultRowHeight="21" x14ac:dyDescent="0.35"/>
  <cols>
    <col min="1" max="1" width="6.85546875" style="122" customWidth="1"/>
    <col min="2" max="2" width="14.5703125" style="122" customWidth="1"/>
    <col min="3" max="3" width="43.140625" style="122" customWidth="1"/>
    <col min="4" max="4" width="13.85546875" style="122" customWidth="1"/>
    <col min="5" max="5" width="15.7109375" style="122" customWidth="1"/>
    <col min="6" max="6" width="14.42578125" style="122" customWidth="1"/>
    <col min="7" max="7" width="10.85546875" style="122" customWidth="1"/>
    <col min="8" max="16384" width="9.140625" style="122"/>
  </cols>
  <sheetData>
    <row r="1" spans="1:8" x14ac:dyDescent="0.35">
      <c r="A1" s="145"/>
      <c r="B1" s="145"/>
      <c r="C1" s="145"/>
      <c r="D1" s="145"/>
      <c r="E1" s="145"/>
      <c r="F1" s="145"/>
      <c r="G1" s="145"/>
    </row>
    <row r="2" spans="1:8" x14ac:dyDescent="0.35">
      <c r="A2" s="121">
        <v>16</v>
      </c>
      <c r="B2" s="121" t="s">
        <v>8</v>
      </c>
      <c r="C2" s="124" t="s">
        <v>303</v>
      </c>
      <c r="D2" s="123">
        <v>2</v>
      </c>
      <c r="E2" s="123">
        <v>2</v>
      </c>
      <c r="F2" s="123">
        <f t="shared" ref="F2:F5" si="0">D2-E2</f>
        <v>0</v>
      </c>
      <c r="G2" s="121"/>
    </row>
    <row r="3" spans="1:8" x14ac:dyDescent="0.35">
      <c r="A3" s="121">
        <v>16</v>
      </c>
      <c r="B3" s="121" t="s">
        <v>8</v>
      </c>
      <c r="C3" s="124" t="s">
        <v>736</v>
      </c>
      <c r="D3" s="123">
        <v>1</v>
      </c>
      <c r="E3" s="123"/>
      <c r="F3" s="123">
        <f t="shared" si="0"/>
        <v>1</v>
      </c>
      <c r="G3" s="121"/>
    </row>
    <row r="4" spans="1:8" x14ac:dyDescent="0.35">
      <c r="A4" s="121">
        <v>16</v>
      </c>
      <c r="B4" s="121" t="s">
        <v>8</v>
      </c>
      <c r="C4" s="124" t="s">
        <v>147</v>
      </c>
      <c r="D4" s="123">
        <v>1</v>
      </c>
      <c r="E4" s="123">
        <v>1</v>
      </c>
      <c r="F4" s="123">
        <f t="shared" si="0"/>
        <v>0</v>
      </c>
      <c r="G4" s="121"/>
    </row>
    <row r="5" spans="1:8" x14ac:dyDescent="0.35">
      <c r="A5" s="121">
        <v>16</v>
      </c>
      <c r="B5" s="121" t="s">
        <v>12</v>
      </c>
      <c r="C5" s="124" t="s">
        <v>334</v>
      </c>
      <c r="D5" s="123">
        <v>1</v>
      </c>
      <c r="E5" s="123">
        <v>1</v>
      </c>
      <c r="F5" s="123">
        <f t="shared" si="0"/>
        <v>0</v>
      </c>
      <c r="G5" s="121" t="s">
        <v>315</v>
      </c>
    </row>
    <row r="6" spans="1:8" x14ac:dyDescent="0.35">
      <c r="A6" s="121">
        <v>16</v>
      </c>
      <c r="B6" s="121" t="s">
        <v>78</v>
      </c>
      <c r="C6" s="124" t="s">
        <v>450</v>
      </c>
      <c r="D6" s="123">
        <v>1</v>
      </c>
      <c r="E6" s="123">
        <v>1</v>
      </c>
      <c r="F6" s="123">
        <f t="shared" ref="F6:F109" si="1">D6-E6</f>
        <v>0</v>
      </c>
      <c r="G6" s="121" t="s">
        <v>159</v>
      </c>
    </row>
    <row r="7" spans="1:8" x14ac:dyDescent="0.35">
      <c r="A7" s="121">
        <v>16</v>
      </c>
      <c r="B7" s="121" t="s">
        <v>78</v>
      </c>
      <c r="C7" s="124" t="s">
        <v>449</v>
      </c>
      <c r="D7" s="123">
        <v>2</v>
      </c>
      <c r="E7" s="123">
        <v>1</v>
      </c>
      <c r="F7" s="123">
        <f t="shared" si="1"/>
        <v>1</v>
      </c>
      <c r="G7" s="121" t="s">
        <v>159</v>
      </c>
    </row>
    <row r="8" spans="1:8" x14ac:dyDescent="0.35">
      <c r="A8" s="121">
        <v>16</v>
      </c>
      <c r="B8" s="121" t="s">
        <v>78</v>
      </c>
      <c r="C8" s="124" t="s">
        <v>111</v>
      </c>
      <c r="D8" s="123">
        <v>1</v>
      </c>
      <c r="E8" s="123"/>
      <c r="F8" s="123">
        <f t="shared" si="1"/>
        <v>1</v>
      </c>
      <c r="G8" s="121"/>
    </row>
    <row r="9" spans="1:8" x14ac:dyDescent="0.35">
      <c r="A9" s="121">
        <v>16</v>
      </c>
      <c r="B9" s="121" t="s">
        <v>78</v>
      </c>
      <c r="C9" s="124" t="s">
        <v>532</v>
      </c>
      <c r="D9" s="123">
        <v>1</v>
      </c>
      <c r="E9" s="123"/>
      <c r="F9" s="123">
        <f t="shared" ref="F9:F10" si="2">D9-E9</f>
        <v>1</v>
      </c>
      <c r="G9" s="121"/>
    </row>
    <row r="10" spans="1:8" x14ac:dyDescent="0.35">
      <c r="A10" s="121">
        <v>16</v>
      </c>
      <c r="B10" s="121" t="s">
        <v>78</v>
      </c>
      <c r="C10" s="124" t="s">
        <v>1033</v>
      </c>
      <c r="D10" s="123">
        <v>1</v>
      </c>
      <c r="E10" s="123"/>
      <c r="F10" s="123">
        <f t="shared" si="2"/>
        <v>1</v>
      </c>
      <c r="G10" s="121"/>
    </row>
    <row r="11" spans="1:8" x14ac:dyDescent="0.35">
      <c r="A11" s="121">
        <v>16</v>
      </c>
      <c r="B11" s="121" t="s">
        <v>77</v>
      </c>
      <c r="C11" s="124" t="s">
        <v>719</v>
      </c>
      <c r="D11" s="123">
        <v>1</v>
      </c>
      <c r="E11" s="123"/>
      <c r="F11" s="123">
        <f t="shared" ref="F11" si="3">D11-E11</f>
        <v>1</v>
      </c>
      <c r="G11" s="123">
        <v>20</v>
      </c>
      <c r="H11" s="159"/>
    </row>
    <row r="12" spans="1:8" x14ac:dyDescent="0.35">
      <c r="A12" s="121">
        <v>16</v>
      </c>
      <c r="B12" s="121" t="s">
        <v>112</v>
      </c>
      <c r="C12" s="124" t="s">
        <v>440</v>
      </c>
      <c r="D12" s="123">
        <v>2</v>
      </c>
      <c r="E12" s="123">
        <v>2</v>
      </c>
      <c r="F12" s="123">
        <f t="shared" si="1"/>
        <v>0</v>
      </c>
      <c r="G12" s="121" t="s">
        <v>779</v>
      </c>
    </row>
    <row r="13" spans="1:8" x14ac:dyDescent="0.35">
      <c r="A13" s="121">
        <v>16</v>
      </c>
      <c r="B13" s="121" t="s">
        <v>112</v>
      </c>
      <c r="C13" s="124" t="s">
        <v>449</v>
      </c>
      <c r="D13" s="123">
        <v>1</v>
      </c>
      <c r="E13" s="123">
        <v>1</v>
      </c>
      <c r="F13" s="123">
        <f t="shared" si="1"/>
        <v>0</v>
      </c>
      <c r="G13" s="121" t="s">
        <v>159</v>
      </c>
    </row>
    <row r="14" spans="1:8" x14ac:dyDescent="0.35">
      <c r="A14" s="121">
        <v>16</v>
      </c>
      <c r="B14" s="121" t="s">
        <v>112</v>
      </c>
      <c r="C14" s="124" t="s">
        <v>492</v>
      </c>
      <c r="D14" s="123">
        <v>1</v>
      </c>
      <c r="E14" s="123"/>
      <c r="F14" s="123">
        <f t="shared" si="1"/>
        <v>1</v>
      </c>
      <c r="G14" s="121" t="s">
        <v>159</v>
      </c>
    </row>
    <row r="15" spans="1:8" x14ac:dyDescent="0.35">
      <c r="A15" s="121">
        <v>16</v>
      </c>
      <c r="B15" s="121" t="s">
        <v>31</v>
      </c>
      <c r="C15" s="124" t="s">
        <v>564</v>
      </c>
      <c r="D15" s="123">
        <v>1</v>
      </c>
      <c r="E15" s="123">
        <v>1</v>
      </c>
      <c r="F15" s="123">
        <f t="shared" si="1"/>
        <v>0</v>
      </c>
      <c r="G15" s="121" t="s">
        <v>565</v>
      </c>
    </row>
    <row r="16" spans="1:8" x14ac:dyDescent="0.35">
      <c r="A16" s="121">
        <v>16</v>
      </c>
      <c r="B16" s="121" t="s">
        <v>31</v>
      </c>
      <c r="C16" s="124" t="s">
        <v>490</v>
      </c>
      <c r="D16" s="123">
        <v>1</v>
      </c>
      <c r="E16" s="123">
        <v>1</v>
      </c>
      <c r="F16" s="123">
        <f t="shared" si="1"/>
        <v>0</v>
      </c>
      <c r="G16" s="121" t="s">
        <v>159</v>
      </c>
    </row>
    <row r="17" spans="1:8" x14ac:dyDescent="0.35">
      <c r="A17" s="121">
        <v>16</v>
      </c>
      <c r="B17" s="121" t="s">
        <v>31</v>
      </c>
      <c r="C17" s="124" t="s">
        <v>306</v>
      </c>
      <c r="D17" s="123">
        <v>1</v>
      </c>
      <c r="E17" s="123">
        <v>1</v>
      </c>
      <c r="F17" s="123">
        <f t="shared" si="1"/>
        <v>0</v>
      </c>
      <c r="G17" s="121" t="s">
        <v>159</v>
      </c>
    </row>
    <row r="18" spans="1:8" x14ac:dyDescent="0.35">
      <c r="A18" s="121">
        <v>16</v>
      </c>
      <c r="B18" s="121" t="s">
        <v>26</v>
      </c>
      <c r="C18" s="124" t="s">
        <v>324</v>
      </c>
      <c r="D18" s="123">
        <v>2</v>
      </c>
      <c r="E18" s="123">
        <v>1</v>
      </c>
      <c r="F18" s="123">
        <f t="shared" si="1"/>
        <v>1</v>
      </c>
      <c r="G18" s="121" t="s">
        <v>159</v>
      </c>
    </row>
    <row r="19" spans="1:8" x14ac:dyDescent="0.35">
      <c r="A19" s="129"/>
      <c r="B19" s="129">
        <v>17</v>
      </c>
      <c r="C19" s="129"/>
      <c r="D19" s="126"/>
      <c r="E19" s="126"/>
      <c r="F19" s="126"/>
      <c r="G19" s="129"/>
    </row>
    <row r="20" spans="1:8" x14ac:dyDescent="0.35">
      <c r="A20" s="121">
        <v>17</v>
      </c>
      <c r="B20" s="121" t="s">
        <v>81</v>
      </c>
      <c r="C20" s="124" t="s">
        <v>717</v>
      </c>
      <c r="D20" s="123">
        <v>2</v>
      </c>
      <c r="E20" s="123">
        <v>2</v>
      </c>
      <c r="F20" s="123">
        <f t="shared" si="1"/>
        <v>0</v>
      </c>
      <c r="G20" s="121" t="s">
        <v>760</v>
      </c>
    </row>
    <row r="21" spans="1:8" x14ac:dyDescent="0.35">
      <c r="A21" s="121">
        <v>17</v>
      </c>
      <c r="B21" s="121" t="s">
        <v>77</v>
      </c>
      <c r="C21" s="124" t="s">
        <v>440</v>
      </c>
      <c r="D21" s="123">
        <v>1</v>
      </c>
      <c r="E21" s="123">
        <v>1</v>
      </c>
      <c r="F21" s="123">
        <f t="shared" si="1"/>
        <v>0</v>
      </c>
      <c r="G21" s="121" t="s">
        <v>758</v>
      </c>
    </row>
    <row r="22" spans="1:8" x14ac:dyDescent="0.35">
      <c r="A22" s="121">
        <v>17</v>
      </c>
      <c r="B22" s="121" t="s">
        <v>77</v>
      </c>
      <c r="C22" s="124" t="s">
        <v>1032</v>
      </c>
      <c r="D22" s="123">
        <v>1</v>
      </c>
      <c r="E22" s="123">
        <v>1</v>
      </c>
      <c r="F22" s="123">
        <f t="shared" si="1"/>
        <v>0</v>
      </c>
      <c r="G22" s="121" t="s">
        <v>779</v>
      </c>
    </row>
    <row r="23" spans="1:8" x14ac:dyDescent="0.35">
      <c r="A23" s="121">
        <v>17</v>
      </c>
      <c r="B23" s="121" t="s">
        <v>19</v>
      </c>
      <c r="C23" s="124" t="s">
        <v>309</v>
      </c>
      <c r="D23" s="123">
        <v>1</v>
      </c>
      <c r="E23" s="123">
        <v>1</v>
      </c>
      <c r="F23" s="123">
        <f t="shared" si="1"/>
        <v>0</v>
      </c>
      <c r="G23" s="121"/>
    </row>
    <row r="24" spans="1:8" x14ac:dyDescent="0.35">
      <c r="A24" s="121">
        <v>17</v>
      </c>
      <c r="B24" s="121" t="s">
        <v>9</v>
      </c>
      <c r="C24" s="124" t="s">
        <v>189</v>
      </c>
      <c r="D24" s="123">
        <v>2</v>
      </c>
      <c r="E24" s="123">
        <v>2</v>
      </c>
      <c r="F24" s="123">
        <f t="shared" si="1"/>
        <v>0</v>
      </c>
      <c r="G24" s="121" t="s">
        <v>759</v>
      </c>
    </row>
    <row r="25" spans="1:8" x14ac:dyDescent="0.35">
      <c r="A25" s="121">
        <v>17</v>
      </c>
      <c r="B25" s="121" t="s">
        <v>26</v>
      </c>
      <c r="C25" s="124" t="s">
        <v>69</v>
      </c>
      <c r="D25" s="123">
        <v>2</v>
      </c>
      <c r="E25" s="123">
        <v>1</v>
      </c>
      <c r="F25" s="123">
        <f t="shared" si="1"/>
        <v>1</v>
      </c>
      <c r="G25" s="121" t="s">
        <v>759</v>
      </c>
    </row>
    <row r="26" spans="1:8" x14ac:dyDescent="0.35">
      <c r="A26" s="121">
        <v>17</v>
      </c>
      <c r="B26" s="121" t="s">
        <v>30</v>
      </c>
      <c r="C26" s="124" t="s">
        <v>113</v>
      </c>
      <c r="D26" s="123">
        <v>1</v>
      </c>
      <c r="E26" s="123"/>
      <c r="F26" s="123">
        <f t="shared" si="1"/>
        <v>1</v>
      </c>
      <c r="G26" s="121" t="s">
        <v>159</v>
      </c>
    </row>
    <row r="27" spans="1:8" x14ac:dyDescent="0.35">
      <c r="A27" s="121">
        <v>17</v>
      </c>
      <c r="B27" s="121" t="s">
        <v>30</v>
      </c>
      <c r="C27" s="124" t="s">
        <v>461</v>
      </c>
      <c r="D27" s="123">
        <v>1</v>
      </c>
      <c r="E27" s="123">
        <v>1</v>
      </c>
      <c r="F27" s="123">
        <f t="shared" si="1"/>
        <v>0</v>
      </c>
      <c r="G27" s="121" t="s">
        <v>159</v>
      </c>
    </row>
    <row r="28" spans="1:8" x14ac:dyDescent="0.35">
      <c r="A28" s="121">
        <v>17</v>
      </c>
      <c r="B28" s="121" t="s">
        <v>16</v>
      </c>
      <c r="C28" s="124" t="s">
        <v>343</v>
      </c>
      <c r="D28" s="123">
        <v>4</v>
      </c>
      <c r="E28" s="123">
        <v>4</v>
      </c>
      <c r="F28" s="123">
        <f t="shared" si="1"/>
        <v>0</v>
      </c>
      <c r="G28" s="121" t="s">
        <v>756</v>
      </c>
      <c r="H28" s="122" t="s">
        <v>392</v>
      </c>
    </row>
    <row r="29" spans="1:8" x14ac:dyDescent="0.35">
      <c r="A29" s="121">
        <v>17</v>
      </c>
      <c r="B29" s="121" t="s">
        <v>16</v>
      </c>
      <c r="C29" s="124" t="s">
        <v>228</v>
      </c>
      <c r="D29" s="123">
        <v>1</v>
      </c>
      <c r="E29" s="123">
        <v>1</v>
      </c>
      <c r="F29" s="123">
        <f t="shared" si="1"/>
        <v>0</v>
      </c>
      <c r="G29" s="123">
        <v>16</v>
      </c>
    </row>
    <row r="30" spans="1:8" x14ac:dyDescent="0.35">
      <c r="A30" s="121">
        <v>17</v>
      </c>
      <c r="B30" s="121" t="s">
        <v>15</v>
      </c>
      <c r="C30" s="124" t="s">
        <v>22</v>
      </c>
      <c r="D30" s="123">
        <v>1</v>
      </c>
      <c r="E30" s="123">
        <v>1</v>
      </c>
      <c r="F30" s="123">
        <f>D30-E30</f>
        <v>0</v>
      </c>
      <c r="G30" s="123">
        <v>21</v>
      </c>
    </row>
    <row r="31" spans="1:8" x14ac:dyDescent="0.35">
      <c r="A31" s="129"/>
      <c r="B31" s="129">
        <v>18</v>
      </c>
      <c r="C31" s="129"/>
      <c r="D31" s="126"/>
      <c r="E31" s="126"/>
      <c r="F31" s="126"/>
      <c r="G31" s="129"/>
      <c r="H31" s="122" t="s">
        <v>207</v>
      </c>
    </row>
    <row r="32" spans="1:8" x14ac:dyDescent="0.35">
      <c r="A32" s="121">
        <v>18</v>
      </c>
      <c r="B32" s="121" t="s">
        <v>24</v>
      </c>
      <c r="C32" s="124" t="s">
        <v>86</v>
      </c>
      <c r="D32" s="123">
        <v>1</v>
      </c>
      <c r="E32" s="123">
        <v>1</v>
      </c>
      <c r="F32" s="123">
        <f t="shared" si="1"/>
        <v>0</v>
      </c>
      <c r="G32" s="121"/>
    </row>
    <row r="33" spans="1:7" x14ac:dyDescent="0.35">
      <c r="A33" s="121">
        <v>18</v>
      </c>
      <c r="B33" s="121" t="s">
        <v>77</v>
      </c>
      <c r="C33" s="124" t="s">
        <v>757</v>
      </c>
      <c r="D33" s="123">
        <v>1</v>
      </c>
      <c r="E33" s="123">
        <v>1</v>
      </c>
      <c r="F33" s="123">
        <f t="shared" si="1"/>
        <v>0</v>
      </c>
      <c r="G33" s="123">
        <v>14</v>
      </c>
    </row>
    <row r="34" spans="1:7" x14ac:dyDescent="0.35">
      <c r="A34" s="121">
        <v>18</v>
      </c>
      <c r="B34" s="121" t="s">
        <v>9</v>
      </c>
      <c r="C34" s="124" t="s">
        <v>144</v>
      </c>
      <c r="D34" s="123">
        <v>2</v>
      </c>
      <c r="E34" s="123">
        <v>1</v>
      </c>
      <c r="F34" s="123">
        <f t="shared" si="1"/>
        <v>1</v>
      </c>
      <c r="G34" s="123">
        <v>18</v>
      </c>
    </row>
    <row r="35" spans="1:7" x14ac:dyDescent="0.35">
      <c r="A35" s="121">
        <v>18</v>
      </c>
      <c r="B35" s="121" t="s">
        <v>21</v>
      </c>
      <c r="C35" s="124" t="s">
        <v>645</v>
      </c>
      <c r="D35" s="123">
        <v>2</v>
      </c>
      <c r="E35" s="123">
        <v>2</v>
      </c>
      <c r="F35" s="123">
        <f t="shared" si="1"/>
        <v>0</v>
      </c>
      <c r="G35" s="123">
        <v>2021</v>
      </c>
    </row>
    <row r="36" spans="1:7" x14ac:dyDescent="0.35">
      <c r="A36" s="121">
        <v>18</v>
      </c>
      <c r="B36" s="121" t="s">
        <v>39</v>
      </c>
      <c r="C36" s="124" t="s">
        <v>452</v>
      </c>
      <c r="D36" s="123">
        <v>2</v>
      </c>
      <c r="E36" s="123">
        <v>1</v>
      </c>
      <c r="F36" s="123">
        <f t="shared" si="1"/>
        <v>1</v>
      </c>
      <c r="G36" s="123">
        <v>17</v>
      </c>
    </row>
    <row r="37" spans="1:7" x14ac:dyDescent="0.35">
      <c r="A37" s="121">
        <v>18</v>
      </c>
      <c r="B37" s="121" t="s">
        <v>14</v>
      </c>
      <c r="C37" s="124" t="s">
        <v>491</v>
      </c>
      <c r="D37" s="123">
        <v>1</v>
      </c>
      <c r="E37" s="123">
        <v>1</v>
      </c>
      <c r="F37" s="123">
        <f t="shared" si="1"/>
        <v>0</v>
      </c>
      <c r="G37" s="123">
        <v>15</v>
      </c>
    </row>
    <row r="38" spans="1:7" x14ac:dyDescent="0.35">
      <c r="A38" s="121">
        <v>18</v>
      </c>
      <c r="B38" s="121" t="s">
        <v>17</v>
      </c>
      <c r="C38" s="124" t="s">
        <v>684</v>
      </c>
      <c r="D38" s="123">
        <v>1</v>
      </c>
      <c r="E38" s="123"/>
      <c r="F38" s="123">
        <f t="shared" ref="F38" si="4">D38-E38</f>
        <v>1</v>
      </c>
      <c r="G38" s="123">
        <v>18</v>
      </c>
    </row>
    <row r="39" spans="1:7" x14ac:dyDescent="0.35">
      <c r="A39" s="121">
        <v>18</v>
      </c>
      <c r="B39" s="121" t="s">
        <v>44</v>
      </c>
      <c r="C39" s="124" t="s">
        <v>45</v>
      </c>
      <c r="D39" s="123">
        <v>1</v>
      </c>
      <c r="E39" s="123"/>
      <c r="F39" s="123">
        <f t="shared" si="1"/>
        <v>1</v>
      </c>
      <c r="G39" s="121"/>
    </row>
    <row r="40" spans="1:7" x14ac:dyDescent="0.35">
      <c r="A40" s="121">
        <v>18</v>
      </c>
      <c r="B40" s="121" t="s">
        <v>33</v>
      </c>
      <c r="C40" s="124" t="s">
        <v>459</v>
      </c>
      <c r="D40" s="123">
        <v>1</v>
      </c>
      <c r="E40" s="123">
        <v>1</v>
      </c>
      <c r="F40" s="123">
        <f t="shared" si="1"/>
        <v>0</v>
      </c>
      <c r="G40" s="121" t="s">
        <v>755</v>
      </c>
    </row>
    <row r="41" spans="1:7" x14ac:dyDescent="0.35">
      <c r="A41" s="121">
        <v>18</v>
      </c>
      <c r="B41" s="121" t="s">
        <v>15</v>
      </c>
      <c r="C41" s="124" t="s">
        <v>192</v>
      </c>
      <c r="D41" s="123">
        <v>1</v>
      </c>
      <c r="E41" s="123">
        <v>1</v>
      </c>
      <c r="F41" s="123">
        <f t="shared" si="1"/>
        <v>0</v>
      </c>
      <c r="G41" s="121"/>
    </row>
    <row r="42" spans="1:7" x14ac:dyDescent="0.35">
      <c r="A42" s="121">
        <v>18</v>
      </c>
      <c r="B42" s="121" t="s">
        <v>15</v>
      </c>
      <c r="C42" s="124" t="s">
        <v>402</v>
      </c>
      <c r="D42" s="123">
        <v>2</v>
      </c>
      <c r="E42" s="123">
        <v>2</v>
      </c>
      <c r="F42" s="123">
        <f t="shared" si="1"/>
        <v>0</v>
      </c>
      <c r="G42" s="123"/>
    </row>
    <row r="43" spans="1:7" x14ac:dyDescent="0.35">
      <c r="A43" s="121">
        <v>18</v>
      </c>
      <c r="B43" s="121" t="s">
        <v>15</v>
      </c>
      <c r="C43" s="124" t="s">
        <v>327</v>
      </c>
      <c r="D43" s="123">
        <v>1</v>
      </c>
      <c r="E43" s="123">
        <v>1</v>
      </c>
      <c r="F43" s="123">
        <f t="shared" si="1"/>
        <v>0</v>
      </c>
      <c r="G43" s="121" t="s">
        <v>756</v>
      </c>
    </row>
    <row r="44" spans="1:7" x14ac:dyDescent="0.35">
      <c r="A44" s="121">
        <v>18</v>
      </c>
      <c r="B44" s="121" t="s">
        <v>37</v>
      </c>
      <c r="C44" s="124" t="s">
        <v>171</v>
      </c>
      <c r="D44" s="123">
        <v>1</v>
      </c>
      <c r="E44" s="123"/>
      <c r="F44" s="123">
        <f t="shared" si="1"/>
        <v>1</v>
      </c>
      <c r="G44" s="123">
        <v>17</v>
      </c>
    </row>
    <row r="45" spans="1:7" x14ac:dyDescent="0.35">
      <c r="A45" s="121">
        <v>18</v>
      </c>
      <c r="B45" s="121" t="s">
        <v>43</v>
      </c>
      <c r="C45" s="124" t="s">
        <v>41</v>
      </c>
      <c r="D45" s="123">
        <v>1</v>
      </c>
      <c r="E45" s="123"/>
      <c r="F45" s="123">
        <f t="shared" si="1"/>
        <v>1</v>
      </c>
      <c r="G45" s="123">
        <v>18</v>
      </c>
    </row>
    <row r="46" spans="1:7" x14ac:dyDescent="0.35">
      <c r="A46" s="121">
        <v>18</v>
      </c>
      <c r="B46" s="121" t="s">
        <v>43</v>
      </c>
      <c r="C46" s="124" t="s">
        <v>1030</v>
      </c>
      <c r="D46" s="123">
        <v>1</v>
      </c>
      <c r="E46" s="123"/>
      <c r="F46" s="123">
        <f t="shared" si="1"/>
        <v>1</v>
      </c>
      <c r="G46" s="123" t="s">
        <v>811</v>
      </c>
    </row>
    <row r="47" spans="1:7" x14ac:dyDescent="0.35">
      <c r="A47" s="121">
        <v>18</v>
      </c>
      <c r="B47" s="121" t="s">
        <v>63</v>
      </c>
      <c r="C47" s="124" t="s">
        <v>426</v>
      </c>
      <c r="D47" s="123">
        <v>2</v>
      </c>
      <c r="E47" s="123">
        <v>1</v>
      </c>
      <c r="F47" s="123">
        <f t="shared" si="1"/>
        <v>1</v>
      </c>
      <c r="G47" s="121"/>
    </row>
    <row r="48" spans="1:7" x14ac:dyDescent="0.35">
      <c r="A48" s="121">
        <v>18</v>
      </c>
      <c r="B48" s="121" t="s">
        <v>63</v>
      </c>
      <c r="C48" s="124" t="s">
        <v>117</v>
      </c>
      <c r="D48" s="123">
        <v>1</v>
      </c>
      <c r="E48" s="123"/>
      <c r="F48" s="123">
        <f t="shared" si="1"/>
        <v>1</v>
      </c>
      <c r="G48" s="121"/>
    </row>
    <row r="49" spans="1:7" x14ac:dyDescent="0.35">
      <c r="A49" s="121">
        <v>18</v>
      </c>
      <c r="B49" s="121" t="s">
        <v>63</v>
      </c>
      <c r="C49" s="124" t="s">
        <v>1031</v>
      </c>
      <c r="D49" s="123">
        <v>1</v>
      </c>
      <c r="E49" s="123"/>
      <c r="F49" s="123">
        <f t="shared" si="1"/>
        <v>1</v>
      </c>
      <c r="G49" s="121" t="s">
        <v>159</v>
      </c>
    </row>
    <row r="50" spans="1:7" x14ac:dyDescent="0.35">
      <c r="A50" s="121">
        <v>18</v>
      </c>
      <c r="B50" s="121" t="s">
        <v>150</v>
      </c>
      <c r="C50" s="124" t="s">
        <v>218</v>
      </c>
      <c r="D50" s="123">
        <v>1</v>
      </c>
      <c r="E50" s="123"/>
      <c r="F50" s="123">
        <f t="shared" si="1"/>
        <v>1</v>
      </c>
      <c r="G50" s="123">
        <v>2020</v>
      </c>
    </row>
    <row r="51" spans="1:7" x14ac:dyDescent="0.35">
      <c r="A51" s="121">
        <v>18</v>
      </c>
      <c r="B51" s="121" t="s">
        <v>217</v>
      </c>
      <c r="C51" s="124" t="s">
        <v>409</v>
      </c>
      <c r="D51" s="123">
        <v>1</v>
      </c>
      <c r="E51" s="123"/>
      <c r="F51" s="123">
        <f>D51-E51</f>
        <v>1</v>
      </c>
      <c r="G51" s="121" t="s">
        <v>507</v>
      </c>
    </row>
    <row r="52" spans="1:7" x14ac:dyDescent="0.35">
      <c r="A52" s="121">
        <v>19</v>
      </c>
      <c r="B52" s="121" t="s">
        <v>127</v>
      </c>
      <c r="C52" s="124" t="s">
        <v>511</v>
      </c>
      <c r="D52" s="123">
        <v>1</v>
      </c>
      <c r="E52" s="123">
        <v>1</v>
      </c>
      <c r="F52" s="123">
        <f>D52-E52</f>
        <v>0</v>
      </c>
      <c r="G52" s="121"/>
    </row>
    <row r="53" spans="1:7" x14ac:dyDescent="0.35">
      <c r="A53" s="129"/>
      <c r="B53" s="129">
        <v>19</v>
      </c>
      <c r="C53" s="129"/>
      <c r="D53" s="126"/>
      <c r="E53" s="126"/>
      <c r="F53" s="126"/>
      <c r="G53" s="129"/>
    </row>
    <row r="54" spans="1:7" x14ac:dyDescent="0.35">
      <c r="A54" s="121">
        <v>19</v>
      </c>
      <c r="B54" s="121" t="s">
        <v>39</v>
      </c>
      <c r="C54" s="124" t="s">
        <v>426</v>
      </c>
      <c r="D54" s="123">
        <v>1</v>
      </c>
      <c r="E54" s="123"/>
      <c r="F54" s="123">
        <f t="shared" si="1"/>
        <v>1</v>
      </c>
      <c r="G54" s="123">
        <v>20</v>
      </c>
    </row>
    <row r="55" spans="1:7" x14ac:dyDescent="0.35">
      <c r="A55" s="121">
        <v>19</v>
      </c>
      <c r="B55" s="121" t="s">
        <v>25</v>
      </c>
      <c r="C55" s="124" t="s">
        <v>45</v>
      </c>
      <c r="D55" s="123">
        <v>2</v>
      </c>
      <c r="E55" s="123">
        <v>2</v>
      </c>
      <c r="F55" s="123">
        <f t="shared" si="1"/>
        <v>0</v>
      </c>
      <c r="G55" s="121" t="s">
        <v>768</v>
      </c>
    </row>
    <row r="56" spans="1:7" x14ac:dyDescent="0.35">
      <c r="A56" s="121">
        <v>19</v>
      </c>
      <c r="B56" s="121" t="s">
        <v>14</v>
      </c>
      <c r="C56" s="124" t="s">
        <v>363</v>
      </c>
      <c r="D56" s="123">
        <v>1</v>
      </c>
      <c r="E56" s="123">
        <v>1</v>
      </c>
      <c r="F56" s="123">
        <f t="shared" si="1"/>
        <v>0</v>
      </c>
      <c r="G56" s="121"/>
    </row>
    <row r="57" spans="1:7" x14ac:dyDescent="0.35">
      <c r="A57" s="121">
        <v>19</v>
      </c>
      <c r="B57" s="121" t="s">
        <v>33</v>
      </c>
      <c r="C57" s="124" t="s">
        <v>327</v>
      </c>
      <c r="D57" s="123">
        <v>1</v>
      </c>
      <c r="E57" s="123"/>
      <c r="F57" s="123">
        <f t="shared" si="1"/>
        <v>1</v>
      </c>
      <c r="G57" s="121" t="s">
        <v>758</v>
      </c>
    </row>
    <row r="58" spans="1:7" x14ac:dyDescent="0.35">
      <c r="A58" s="121">
        <v>19</v>
      </c>
      <c r="B58" s="121" t="s">
        <v>33</v>
      </c>
      <c r="C58" s="124" t="s">
        <v>310</v>
      </c>
      <c r="D58" s="123">
        <v>2</v>
      </c>
      <c r="E58" s="123">
        <v>2</v>
      </c>
      <c r="F58" s="123">
        <f t="shared" si="1"/>
        <v>0</v>
      </c>
      <c r="G58" s="121" t="s">
        <v>159</v>
      </c>
    </row>
    <row r="59" spans="1:7" x14ac:dyDescent="0.35">
      <c r="A59" s="121">
        <v>19</v>
      </c>
      <c r="B59" s="121" t="s">
        <v>33</v>
      </c>
      <c r="C59" s="124" t="s">
        <v>245</v>
      </c>
      <c r="D59" s="123">
        <v>1</v>
      </c>
      <c r="E59" s="123"/>
      <c r="F59" s="123">
        <f t="shared" si="1"/>
        <v>1</v>
      </c>
      <c r="G59" s="121" t="s">
        <v>768</v>
      </c>
    </row>
    <row r="60" spans="1:7" x14ac:dyDescent="0.35">
      <c r="A60" s="121">
        <v>19</v>
      </c>
      <c r="B60" s="121" t="s">
        <v>15</v>
      </c>
      <c r="C60" s="124" t="s">
        <v>275</v>
      </c>
      <c r="D60" s="123">
        <v>1</v>
      </c>
      <c r="E60" s="123"/>
      <c r="F60" s="123">
        <f t="shared" si="1"/>
        <v>1</v>
      </c>
      <c r="G60" s="121" t="s">
        <v>159</v>
      </c>
    </row>
    <row r="61" spans="1:7" x14ac:dyDescent="0.35">
      <c r="A61" s="121">
        <v>19</v>
      </c>
      <c r="B61" s="121" t="s">
        <v>15</v>
      </c>
      <c r="C61" s="124" t="s">
        <v>327</v>
      </c>
      <c r="D61" s="123">
        <v>1</v>
      </c>
      <c r="E61" s="123"/>
      <c r="F61" s="123">
        <f t="shared" si="1"/>
        <v>1</v>
      </c>
      <c r="G61" s="121" t="s">
        <v>159</v>
      </c>
    </row>
    <row r="62" spans="1:7" x14ac:dyDescent="0.35">
      <c r="A62" s="121">
        <v>19</v>
      </c>
      <c r="B62" s="121" t="s">
        <v>63</v>
      </c>
      <c r="C62" s="124" t="s">
        <v>444</v>
      </c>
      <c r="D62" s="123">
        <v>3</v>
      </c>
      <c r="E62" s="123">
        <v>2</v>
      </c>
      <c r="F62" s="123">
        <f t="shared" si="1"/>
        <v>1</v>
      </c>
      <c r="G62" s="123">
        <v>18</v>
      </c>
    </row>
    <row r="63" spans="1:7" x14ac:dyDescent="0.35">
      <c r="A63" s="121">
        <v>19</v>
      </c>
      <c r="B63" s="121" t="s">
        <v>58</v>
      </c>
      <c r="C63" s="124" t="s">
        <v>148</v>
      </c>
      <c r="D63" s="123">
        <v>1</v>
      </c>
      <c r="E63" s="123"/>
      <c r="F63" s="123">
        <f t="shared" si="1"/>
        <v>1</v>
      </c>
      <c r="G63" s="121"/>
    </row>
    <row r="64" spans="1:7" x14ac:dyDescent="0.35">
      <c r="A64" s="121">
        <v>19</v>
      </c>
      <c r="B64" s="121" t="s">
        <v>60</v>
      </c>
      <c r="C64" s="124" t="s">
        <v>777</v>
      </c>
      <c r="D64" s="123">
        <v>1</v>
      </c>
      <c r="E64" s="123"/>
      <c r="F64" s="123">
        <f t="shared" si="1"/>
        <v>1</v>
      </c>
      <c r="G64" s="123"/>
    </row>
    <row r="65" spans="1:8" x14ac:dyDescent="0.35">
      <c r="A65" s="129"/>
      <c r="B65" s="129">
        <v>20</v>
      </c>
      <c r="C65" s="129"/>
      <c r="D65" s="126"/>
      <c r="E65" s="126"/>
      <c r="F65" s="126"/>
      <c r="G65" s="129"/>
    </row>
    <row r="66" spans="1:8" x14ac:dyDescent="0.35">
      <c r="A66" s="121">
        <v>20</v>
      </c>
      <c r="B66" s="121" t="s">
        <v>14</v>
      </c>
      <c r="C66" s="124" t="s">
        <v>357</v>
      </c>
      <c r="D66" s="123">
        <v>1</v>
      </c>
      <c r="E66" s="123">
        <v>1</v>
      </c>
      <c r="F66" s="123">
        <f>D66-E66</f>
        <v>0</v>
      </c>
      <c r="G66" s="121" t="s">
        <v>159</v>
      </c>
    </row>
    <row r="67" spans="1:8" x14ac:dyDescent="0.35">
      <c r="A67" s="121">
        <v>20</v>
      </c>
      <c r="B67" s="121" t="s">
        <v>778</v>
      </c>
      <c r="C67" s="124" t="s">
        <v>1094</v>
      </c>
      <c r="D67" s="123">
        <v>2</v>
      </c>
      <c r="E67" s="123">
        <v>1</v>
      </c>
      <c r="F67" s="123">
        <f>D67-E67</f>
        <v>1</v>
      </c>
      <c r="G67" s="121"/>
    </row>
    <row r="68" spans="1:8" x14ac:dyDescent="0.35">
      <c r="A68" s="121">
        <v>20</v>
      </c>
      <c r="B68" s="121" t="s">
        <v>13</v>
      </c>
      <c r="C68" s="124" t="s">
        <v>764</v>
      </c>
      <c r="D68" s="123">
        <v>1</v>
      </c>
      <c r="E68" s="123">
        <v>1</v>
      </c>
      <c r="F68" s="123">
        <f>D68-E68</f>
        <v>0</v>
      </c>
      <c r="G68" s="121" t="s">
        <v>765</v>
      </c>
    </row>
    <row r="69" spans="1:8" x14ac:dyDescent="0.35">
      <c r="A69" s="121">
        <v>20</v>
      </c>
      <c r="B69" s="121" t="s">
        <v>641</v>
      </c>
      <c r="C69" s="124" t="s">
        <v>1023</v>
      </c>
      <c r="D69" s="123">
        <v>1</v>
      </c>
      <c r="E69" s="123"/>
      <c r="F69" s="123">
        <f>D69-E69</f>
        <v>1</v>
      </c>
      <c r="G69" s="121" t="s">
        <v>1024</v>
      </c>
    </row>
    <row r="70" spans="1:8" x14ac:dyDescent="0.35">
      <c r="A70" s="121">
        <v>20</v>
      </c>
      <c r="B70" s="121" t="s">
        <v>50</v>
      </c>
      <c r="C70" s="124" t="s">
        <v>1029</v>
      </c>
      <c r="D70" s="123">
        <v>1</v>
      </c>
      <c r="E70" s="123">
        <v>1</v>
      </c>
      <c r="F70" s="123">
        <f t="shared" si="1"/>
        <v>0</v>
      </c>
      <c r="G70" s="123" t="s">
        <v>811</v>
      </c>
    </row>
    <row r="71" spans="1:8" x14ac:dyDescent="0.35">
      <c r="A71" s="121">
        <v>20</v>
      </c>
      <c r="B71" s="121" t="s">
        <v>51</v>
      </c>
      <c r="C71" s="124" t="s">
        <v>1026</v>
      </c>
      <c r="D71" s="123">
        <v>1</v>
      </c>
      <c r="E71" s="123"/>
      <c r="F71" s="123">
        <f t="shared" si="1"/>
        <v>1</v>
      </c>
      <c r="G71" s="121" t="s">
        <v>1025</v>
      </c>
    </row>
    <row r="72" spans="1:8" x14ac:dyDescent="0.35">
      <c r="A72" s="121">
        <v>20</v>
      </c>
      <c r="B72" s="121" t="s">
        <v>51</v>
      </c>
      <c r="C72" s="124" t="s">
        <v>314</v>
      </c>
      <c r="D72" s="123">
        <v>2</v>
      </c>
      <c r="E72" s="123"/>
      <c r="F72" s="123">
        <f t="shared" si="1"/>
        <v>2</v>
      </c>
      <c r="G72" s="121" t="s">
        <v>28</v>
      </c>
      <c r="H72" s="122" t="s">
        <v>659</v>
      </c>
    </row>
    <row r="73" spans="1:8" x14ac:dyDescent="0.35">
      <c r="A73" s="121">
        <v>20</v>
      </c>
      <c r="B73" s="121" t="s">
        <v>91</v>
      </c>
      <c r="C73" s="124" t="s">
        <v>322</v>
      </c>
      <c r="D73" s="123">
        <v>1</v>
      </c>
      <c r="E73" s="123"/>
      <c r="F73" s="123">
        <f t="shared" si="1"/>
        <v>1</v>
      </c>
      <c r="G73" s="121" t="s">
        <v>159</v>
      </c>
    </row>
    <row r="74" spans="1:8" x14ac:dyDescent="0.35">
      <c r="A74" s="121">
        <v>20</v>
      </c>
      <c r="B74" s="121" t="s">
        <v>91</v>
      </c>
      <c r="C74" s="124" t="s">
        <v>1027</v>
      </c>
      <c r="D74" s="123">
        <v>1</v>
      </c>
      <c r="E74" s="123"/>
      <c r="F74" s="123">
        <f t="shared" si="1"/>
        <v>1</v>
      </c>
      <c r="G74" s="121">
        <v>2021</v>
      </c>
    </row>
    <row r="75" spans="1:8" x14ac:dyDescent="0.35">
      <c r="A75" s="121">
        <v>20</v>
      </c>
      <c r="B75" s="121" t="s">
        <v>66</v>
      </c>
      <c r="C75" s="124" t="s">
        <v>316</v>
      </c>
      <c r="D75" s="123">
        <v>1</v>
      </c>
      <c r="E75" s="123">
        <v>1</v>
      </c>
      <c r="F75" s="123">
        <f t="shared" si="1"/>
        <v>0</v>
      </c>
      <c r="G75" s="121" t="s">
        <v>429</v>
      </c>
    </row>
    <row r="76" spans="1:8" x14ac:dyDescent="0.35">
      <c r="A76" s="121">
        <v>20</v>
      </c>
      <c r="B76" s="121" t="s">
        <v>160</v>
      </c>
      <c r="C76" s="124" t="s">
        <v>319</v>
      </c>
      <c r="D76" s="123">
        <v>1</v>
      </c>
      <c r="E76" s="123"/>
      <c r="F76" s="123">
        <f t="shared" si="1"/>
        <v>1</v>
      </c>
      <c r="G76" s="121" t="s">
        <v>159</v>
      </c>
    </row>
    <row r="77" spans="1:8" x14ac:dyDescent="0.35">
      <c r="A77" s="121">
        <v>20</v>
      </c>
      <c r="B77" s="121" t="s">
        <v>160</v>
      </c>
      <c r="C77" s="124" t="s">
        <v>318</v>
      </c>
      <c r="D77" s="123">
        <v>2</v>
      </c>
      <c r="E77" s="123">
        <v>1</v>
      </c>
      <c r="F77" s="123">
        <f>D77-E77</f>
        <v>1</v>
      </c>
      <c r="G77" s="121" t="s">
        <v>429</v>
      </c>
      <c r="H77" s="122" t="s">
        <v>1091</v>
      </c>
    </row>
    <row r="78" spans="1:8" x14ac:dyDescent="0.35">
      <c r="A78" s="121">
        <v>20</v>
      </c>
      <c r="B78" s="121" t="s">
        <v>160</v>
      </c>
      <c r="C78" s="124" t="s">
        <v>139</v>
      </c>
      <c r="D78" s="123">
        <v>1</v>
      </c>
      <c r="E78" s="123"/>
      <c r="F78" s="123">
        <f t="shared" si="1"/>
        <v>1</v>
      </c>
      <c r="G78" s="121" t="s">
        <v>159</v>
      </c>
    </row>
    <row r="79" spans="1:8" x14ac:dyDescent="0.35">
      <c r="A79" s="121">
        <v>20</v>
      </c>
      <c r="B79" s="121" t="s">
        <v>60</v>
      </c>
      <c r="C79" s="124" t="s">
        <v>54</v>
      </c>
      <c r="D79" s="123">
        <v>1</v>
      </c>
      <c r="E79" s="123"/>
      <c r="F79" s="123">
        <f t="shared" si="1"/>
        <v>1</v>
      </c>
      <c r="G79" s="121" t="s">
        <v>761</v>
      </c>
    </row>
    <row r="80" spans="1:8" x14ac:dyDescent="0.35">
      <c r="A80" s="121">
        <v>20</v>
      </c>
      <c r="B80" s="121" t="s">
        <v>238</v>
      </c>
      <c r="C80" s="124" t="s">
        <v>716</v>
      </c>
      <c r="D80" s="123">
        <v>1</v>
      </c>
      <c r="E80" s="123"/>
      <c r="F80" s="123">
        <f t="shared" si="1"/>
        <v>1</v>
      </c>
      <c r="G80" s="121"/>
    </row>
    <row r="81" spans="1:8" x14ac:dyDescent="0.35">
      <c r="A81" s="121">
        <v>20</v>
      </c>
      <c r="B81" s="121" t="s">
        <v>64</v>
      </c>
      <c r="C81" s="124" t="s">
        <v>613</v>
      </c>
      <c r="D81" s="123">
        <v>2</v>
      </c>
      <c r="E81" s="123">
        <v>2</v>
      </c>
      <c r="F81" s="123">
        <f t="shared" si="1"/>
        <v>0</v>
      </c>
      <c r="G81" s="121" t="s">
        <v>28</v>
      </c>
    </row>
    <row r="82" spans="1:8" x14ac:dyDescent="0.35">
      <c r="A82" s="121">
        <v>20</v>
      </c>
      <c r="B82" s="121" t="s">
        <v>64</v>
      </c>
      <c r="C82" s="124" t="s">
        <v>98</v>
      </c>
      <c r="D82" s="123">
        <v>1</v>
      </c>
      <c r="E82" s="123">
        <v>1</v>
      </c>
      <c r="F82" s="123">
        <f t="shared" si="1"/>
        <v>0</v>
      </c>
      <c r="G82" s="121" t="s">
        <v>321</v>
      </c>
    </row>
    <row r="83" spans="1:8" x14ac:dyDescent="0.35">
      <c r="A83" s="121">
        <v>20</v>
      </c>
      <c r="B83" s="121" t="s">
        <v>173</v>
      </c>
      <c r="C83" s="124" t="s">
        <v>41</v>
      </c>
      <c r="D83" s="123">
        <v>1</v>
      </c>
      <c r="E83" s="123"/>
      <c r="F83" s="123">
        <f t="shared" si="1"/>
        <v>1</v>
      </c>
      <c r="G83" s="121" t="s">
        <v>159</v>
      </c>
    </row>
    <row r="84" spans="1:8" x14ac:dyDescent="0.35">
      <c r="A84" s="129"/>
      <c r="B84" s="129">
        <v>21</v>
      </c>
      <c r="C84" s="129"/>
      <c r="D84" s="126"/>
      <c r="E84" s="126"/>
      <c r="F84" s="126"/>
      <c r="G84" s="129"/>
      <c r="H84" s="122" t="s">
        <v>207</v>
      </c>
    </row>
    <row r="85" spans="1:8" x14ac:dyDescent="0.35">
      <c r="A85" s="121">
        <v>21</v>
      </c>
      <c r="B85" s="121" t="s">
        <v>67</v>
      </c>
      <c r="C85" s="124" t="s">
        <v>496</v>
      </c>
      <c r="D85" s="123">
        <v>1</v>
      </c>
      <c r="E85" s="123">
        <v>1</v>
      </c>
      <c r="F85" s="123">
        <f t="shared" si="1"/>
        <v>0</v>
      </c>
      <c r="G85" s="121"/>
    </row>
    <row r="86" spans="1:8" x14ac:dyDescent="0.35">
      <c r="A86" s="121">
        <v>21</v>
      </c>
      <c r="B86" s="121" t="s">
        <v>33</v>
      </c>
      <c r="C86" s="124" t="s">
        <v>363</v>
      </c>
      <c r="D86" s="123">
        <v>1</v>
      </c>
      <c r="E86" s="123">
        <v>1</v>
      </c>
      <c r="F86" s="123">
        <f t="shared" si="1"/>
        <v>0</v>
      </c>
      <c r="G86" s="121"/>
    </row>
    <row r="87" spans="1:8" x14ac:dyDescent="0.35">
      <c r="A87" s="121">
        <v>21</v>
      </c>
      <c r="B87" s="121" t="s">
        <v>88</v>
      </c>
      <c r="C87" s="124" t="s">
        <v>776</v>
      </c>
      <c r="D87" s="123">
        <v>1</v>
      </c>
      <c r="E87" s="123">
        <v>1</v>
      </c>
      <c r="F87" s="123">
        <f t="shared" si="1"/>
        <v>0</v>
      </c>
      <c r="G87" s="121"/>
    </row>
    <row r="88" spans="1:8" x14ac:dyDescent="0.35">
      <c r="A88" s="121">
        <v>21</v>
      </c>
      <c r="B88" s="121" t="s">
        <v>51</v>
      </c>
      <c r="C88" s="124" t="s">
        <v>311</v>
      </c>
      <c r="D88" s="123">
        <v>1</v>
      </c>
      <c r="E88" s="123"/>
      <c r="F88" s="123">
        <f t="shared" si="1"/>
        <v>1</v>
      </c>
      <c r="G88" s="121" t="s">
        <v>179</v>
      </c>
    </row>
    <row r="89" spans="1:8" x14ac:dyDescent="0.35">
      <c r="A89" s="121">
        <v>21</v>
      </c>
      <c r="B89" s="121" t="s">
        <v>91</v>
      </c>
      <c r="C89" s="124" t="s">
        <v>85</v>
      </c>
      <c r="D89" s="123">
        <v>2</v>
      </c>
      <c r="E89" s="123">
        <v>1</v>
      </c>
      <c r="F89" s="123">
        <f t="shared" si="1"/>
        <v>1</v>
      </c>
      <c r="G89" s="121" t="s">
        <v>159</v>
      </c>
    </row>
    <row r="90" spans="1:8" x14ac:dyDescent="0.35">
      <c r="A90" s="121">
        <v>21</v>
      </c>
      <c r="B90" s="121" t="s">
        <v>91</v>
      </c>
      <c r="C90" s="124" t="s">
        <v>234</v>
      </c>
      <c r="D90" s="123">
        <v>1</v>
      </c>
      <c r="E90" s="123">
        <v>1</v>
      </c>
      <c r="F90" s="123">
        <f t="shared" si="1"/>
        <v>0</v>
      </c>
      <c r="G90" s="121" t="s">
        <v>159</v>
      </c>
    </row>
    <row r="91" spans="1:8" x14ac:dyDescent="0.35">
      <c r="A91" s="121">
        <v>21</v>
      </c>
      <c r="B91" s="121" t="s">
        <v>92</v>
      </c>
      <c r="C91" s="124" t="s">
        <v>267</v>
      </c>
      <c r="D91" s="123">
        <v>1</v>
      </c>
      <c r="E91" s="123"/>
      <c r="F91" s="123">
        <f t="shared" ref="F91" si="5">D91-E91</f>
        <v>1</v>
      </c>
      <c r="G91" s="121" t="s">
        <v>159</v>
      </c>
    </row>
    <row r="92" spans="1:8" x14ac:dyDescent="0.35">
      <c r="A92" s="121">
        <v>21</v>
      </c>
      <c r="B92" s="121" t="s">
        <v>53</v>
      </c>
      <c r="C92" s="124" t="s">
        <v>271</v>
      </c>
      <c r="D92" s="123">
        <v>2</v>
      </c>
      <c r="E92" s="123">
        <v>2</v>
      </c>
      <c r="F92" s="123">
        <f t="shared" si="1"/>
        <v>0</v>
      </c>
      <c r="G92" s="121" t="s">
        <v>159</v>
      </c>
    </row>
    <row r="93" spans="1:8" x14ac:dyDescent="0.35">
      <c r="A93" s="121">
        <v>21</v>
      </c>
      <c r="B93" s="121" t="s">
        <v>53</v>
      </c>
      <c r="C93" s="124" t="s">
        <v>38</v>
      </c>
      <c r="D93" s="123">
        <v>1</v>
      </c>
      <c r="E93" s="123">
        <v>1</v>
      </c>
      <c r="F93" s="123">
        <f t="shared" si="1"/>
        <v>0</v>
      </c>
      <c r="G93" s="121" t="s">
        <v>763</v>
      </c>
    </row>
    <row r="94" spans="1:8" x14ac:dyDescent="0.35">
      <c r="A94" s="121">
        <v>21</v>
      </c>
      <c r="B94" s="121" t="s">
        <v>174</v>
      </c>
      <c r="C94" s="124" t="s">
        <v>271</v>
      </c>
      <c r="D94" s="123">
        <v>1</v>
      </c>
      <c r="E94" s="123"/>
      <c r="F94" s="123">
        <f t="shared" si="1"/>
        <v>1</v>
      </c>
      <c r="G94" s="121"/>
    </row>
    <row r="95" spans="1:8" x14ac:dyDescent="0.35">
      <c r="A95" s="121">
        <v>21</v>
      </c>
      <c r="B95" s="121" t="s">
        <v>60</v>
      </c>
      <c r="C95" s="124" t="s">
        <v>41</v>
      </c>
      <c r="D95" s="123">
        <v>2</v>
      </c>
      <c r="E95" s="123">
        <v>1</v>
      </c>
      <c r="F95" s="123">
        <f t="shared" si="1"/>
        <v>1</v>
      </c>
      <c r="G95" s="121"/>
    </row>
    <row r="96" spans="1:8" x14ac:dyDescent="0.35">
      <c r="A96" s="121">
        <v>21</v>
      </c>
      <c r="B96" s="121" t="s">
        <v>60</v>
      </c>
      <c r="C96" s="124" t="s">
        <v>34</v>
      </c>
      <c r="D96" s="123">
        <v>1</v>
      </c>
      <c r="E96" s="123"/>
      <c r="F96" s="123">
        <f t="shared" si="1"/>
        <v>1</v>
      </c>
      <c r="G96" s="121" t="s">
        <v>159</v>
      </c>
    </row>
    <row r="97" spans="1:7" x14ac:dyDescent="0.35">
      <c r="A97" s="121">
        <v>21</v>
      </c>
      <c r="B97" s="121" t="s">
        <v>99</v>
      </c>
      <c r="C97" s="124" t="s">
        <v>286</v>
      </c>
      <c r="D97" s="123">
        <v>1</v>
      </c>
      <c r="E97" s="123"/>
      <c r="F97" s="123">
        <f t="shared" si="1"/>
        <v>1</v>
      </c>
      <c r="G97" s="121" t="s">
        <v>315</v>
      </c>
    </row>
    <row r="98" spans="1:7" x14ac:dyDescent="0.35">
      <c r="A98" s="121">
        <v>21</v>
      </c>
      <c r="B98" s="121" t="s">
        <v>99</v>
      </c>
      <c r="C98" s="124" t="s">
        <v>313</v>
      </c>
      <c r="D98" s="123">
        <v>3</v>
      </c>
      <c r="E98" s="123">
        <v>3</v>
      </c>
      <c r="F98" s="123">
        <f t="shared" si="1"/>
        <v>0</v>
      </c>
      <c r="G98" s="121" t="s">
        <v>758</v>
      </c>
    </row>
    <row r="99" spans="1:7" x14ac:dyDescent="0.35">
      <c r="A99" s="121">
        <v>21</v>
      </c>
      <c r="B99" s="121" t="s">
        <v>64</v>
      </c>
      <c r="C99" s="124" t="s">
        <v>41</v>
      </c>
      <c r="D99" s="123">
        <v>2</v>
      </c>
      <c r="E99" s="123">
        <v>1</v>
      </c>
      <c r="F99" s="123">
        <f t="shared" si="1"/>
        <v>1</v>
      </c>
      <c r="G99" s="121" t="s">
        <v>824</v>
      </c>
    </row>
    <row r="100" spans="1:7" x14ac:dyDescent="0.35">
      <c r="A100" s="121">
        <v>21</v>
      </c>
      <c r="B100" s="121" t="s">
        <v>326</v>
      </c>
      <c r="C100" s="124" t="s">
        <v>718</v>
      </c>
      <c r="D100" s="123">
        <v>2</v>
      </c>
      <c r="E100" s="123">
        <v>1</v>
      </c>
      <c r="F100" s="123">
        <f t="shared" si="1"/>
        <v>1</v>
      </c>
      <c r="G100" s="121" t="s">
        <v>762</v>
      </c>
    </row>
    <row r="101" spans="1:7" x14ac:dyDescent="0.35">
      <c r="A101" s="121">
        <v>21</v>
      </c>
      <c r="B101" s="121" t="s">
        <v>143</v>
      </c>
      <c r="C101" s="124" t="s">
        <v>98</v>
      </c>
      <c r="D101" s="123">
        <v>1</v>
      </c>
      <c r="E101" s="123"/>
      <c r="F101" s="123">
        <f t="shared" si="1"/>
        <v>1</v>
      </c>
      <c r="G101" s="121" t="s">
        <v>536</v>
      </c>
    </row>
    <row r="102" spans="1:7" x14ac:dyDescent="0.35">
      <c r="A102" s="121">
        <v>21</v>
      </c>
      <c r="B102" s="121" t="s">
        <v>143</v>
      </c>
      <c r="C102" s="124" t="s">
        <v>271</v>
      </c>
      <c r="D102" s="123">
        <v>3</v>
      </c>
      <c r="E102" s="123">
        <v>3</v>
      </c>
      <c r="F102" s="123">
        <f t="shared" si="1"/>
        <v>0</v>
      </c>
      <c r="G102" s="121"/>
    </row>
    <row r="103" spans="1:7" x14ac:dyDescent="0.35">
      <c r="A103" s="129"/>
      <c r="B103" s="129">
        <v>22</v>
      </c>
      <c r="C103" s="129"/>
      <c r="D103" s="126"/>
      <c r="E103" s="126"/>
      <c r="F103" s="126"/>
      <c r="G103" s="129"/>
    </row>
    <row r="104" spans="1:7" x14ac:dyDescent="0.35">
      <c r="A104" s="121">
        <v>22</v>
      </c>
      <c r="B104" s="121" t="s">
        <v>59</v>
      </c>
      <c r="C104" s="124" t="s">
        <v>363</v>
      </c>
      <c r="D104" s="123">
        <v>1</v>
      </c>
      <c r="E104" s="123">
        <v>1</v>
      </c>
      <c r="F104" s="123">
        <f t="shared" si="1"/>
        <v>0</v>
      </c>
      <c r="G104" s="121" t="s">
        <v>159</v>
      </c>
    </row>
    <row r="105" spans="1:7" x14ac:dyDescent="0.35">
      <c r="A105" s="121">
        <v>22</v>
      </c>
      <c r="B105" s="121" t="s">
        <v>51</v>
      </c>
      <c r="C105" s="124" t="s">
        <v>175</v>
      </c>
      <c r="D105" s="123">
        <v>1</v>
      </c>
      <c r="E105" s="123">
        <v>1</v>
      </c>
      <c r="F105" s="123">
        <f t="shared" si="1"/>
        <v>0</v>
      </c>
      <c r="G105" s="121"/>
    </row>
    <row r="106" spans="1:7" x14ac:dyDescent="0.35">
      <c r="A106" s="121">
        <v>22</v>
      </c>
      <c r="B106" s="121" t="s">
        <v>92</v>
      </c>
      <c r="C106" s="124" t="s">
        <v>363</v>
      </c>
      <c r="D106" s="123">
        <v>1</v>
      </c>
      <c r="E106" s="123">
        <v>1</v>
      </c>
      <c r="F106" s="123">
        <f t="shared" ref="F106" si="6">D106-E106</f>
        <v>0</v>
      </c>
      <c r="G106" s="121"/>
    </row>
    <row r="107" spans="1:7" x14ac:dyDescent="0.35">
      <c r="A107" s="121">
        <v>22</v>
      </c>
      <c r="B107" s="121" t="s">
        <v>174</v>
      </c>
      <c r="C107" s="124" t="s">
        <v>355</v>
      </c>
      <c r="D107" s="123">
        <v>2</v>
      </c>
      <c r="E107" s="123">
        <v>2</v>
      </c>
      <c r="F107" s="123">
        <f t="shared" si="1"/>
        <v>0</v>
      </c>
      <c r="G107" s="121"/>
    </row>
    <row r="108" spans="1:7" x14ac:dyDescent="0.35">
      <c r="A108" s="121">
        <v>22</v>
      </c>
      <c r="B108" s="121" t="s">
        <v>64</v>
      </c>
      <c r="C108" s="124" t="s">
        <v>617</v>
      </c>
      <c r="D108" s="123">
        <v>2</v>
      </c>
      <c r="E108" s="123">
        <v>2</v>
      </c>
      <c r="F108" s="123">
        <f t="shared" si="1"/>
        <v>0</v>
      </c>
      <c r="G108" s="121">
        <v>2022</v>
      </c>
    </row>
    <row r="109" spans="1:7" x14ac:dyDescent="0.35">
      <c r="A109" s="121">
        <v>22</v>
      </c>
      <c r="B109" s="121" t="s">
        <v>173</v>
      </c>
      <c r="C109" s="124" t="s">
        <v>271</v>
      </c>
      <c r="D109" s="123">
        <v>2</v>
      </c>
      <c r="E109" s="123">
        <v>1</v>
      </c>
      <c r="F109" s="123">
        <f t="shared" si="1"/>
        <v>1</v>
      </c>
      <c r="G109" s="121" t="s">
        <v>159</v>
      </c>
    </row>
    <row r="110" spans="1:7" x14ac:dyDescent="0.35">
      <c r="A110" s="121"/>
      <c r="B110" s="121"/>
      <c r="C110" s="124"/>
      <c r="D110" s="125">
        <f>SUM(D2:D109)</f>
        <v>137</v>
      </c>
      <c r="E110" s="126">
        <f>SUM(E2:E108)</f>
        <v>82</v>
      </c>
      <c r="F110" s="127">
        <f>SUM(F2:F109)</f>
        <v>54</v>
      </c>
    </row>
  </sheetData>
  <pageMargins left="0.7" right="0.7" top="0.75" bottom="0.75" header="0.3" footer="0.3"/>
  <pageSetup paperSize="8" orientation="portrait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"/>
  <sheetViews>
    <sheetView workbookViewId="0">
      <selection activeCell="C3" sqref="C3"/>
    </sheetView>
  </sheetViews>
  <sheetFormatPr defaultRowHeight="15" x14ac:dyDescent="0.25"/>
  <sheetData>
    <row r="1" spans="1:3" x14ac:dyDescent="0.25">
      <c r="A1" s="52" t="s">
        <v>104</v>
      </c>
      <c r="B1" s="52">
        <f>'R15'!D55+'R16'!D133+'R17'!D187+'R18'!D318+'R19'!$D$277+'R20'!D214+'R21'!D104+'R22'!D46+'R ОДИНОЧКИ'!D110</f>
        <v>18516</v>
      </c>
      <c r="C1" t="s">
        <v>161</v>
      </c>
    </row>
    <row r="2" spans="1:3" x14ac:dyDescent="0.25">
      <c r="A2" s="52" t="s">
        <v>4</v>
      </c>
      <c r="B2" s="1">
        <f>'R15'!E55+'R16'!E133+'R17'!E187+'R18'!E318+'R19'!E277+'R20'!E214+'R21'!E104+'R22'!E46+'R ОДИНОЧКИ'!E110</f>
        <v>15286</v>
      </c>
    </row>
    <row r="3" spans="1:3" x14ac:dyDescent="0.25">
      <c r="A3" s="52" t="s">
        <v>5</v>
      </c>
      <c r="B3" s="1">
        <f>'R15'!F55+'R16'!F133+'R17'!F187+'R18'!F318+'R19'!F277+'R20'!F214+'R21'!F104+'R22'!F46+'R ОДИНОЧКИ'!F110</f>
        <v>2966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</vt:i4>
      </vt:variant>
    </vt:vector>
  </HeadingPairs>
  <TitlesOfParts>
    <vt:vector size="11" baseType="lpstr">
      <vt:lpstr>R15</vt:lpstr>
      <vt:lpstr>R16</vt:lpstr>
      <vt:lpstr>R17</vt:lpstr>
      <vt:lpstr>R18</vt:lpstr>
      <vt:lpstr>R19</vt:lpstr>
      <vt:lpstr>R20</vt:lpstr>
      <vt:lpstr>R21</vt:lpstr>
      <vt:lpstr>R22</vt:lpstr>
      <vt:lpstr>R ОДИНОЧКИ</vt:lpstr>
      <vt:lpstr>Итого</vt:lpstr>
      <vt:lpstr>'R21'!Область_печати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Владимир Владимир</cp:lastModifiedBy>
  <cp:lastPrinted>2024-02-14T10:43:40Z</cp:lastPrinted>
  <dcterms:created xsi:type="dcterms:W3CDTF">2017-05-31T08:32:40Z</dcterms:created>
  <dcterms:modified xsi:type="dcterms:W3CDTF">2026-03-28T10:55:40Z</dcterms:modified>
</cp:coreProperties>
</file>
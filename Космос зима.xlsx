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Легион\Desktop\ОСТАТКИ\Космос 61\"/>
    </mc:Choice>
  </mc:AlternateContent>
  <xr:revisionPtr revIDLastSave="0" documentId="13_ncr:1_{18B88626-DB6C-41C0-AB65-7A273CF69381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R14" sheetId="6" r:id="rId1"/>
    <sheet name="R15" sheetId="1" r:id="rId2"/>
    <sheet name="R16" sheetId="2" r:id="rId3"/>
    <sheet name="R17" sheetId="3" r:id="rId4"/>
    <sheet name="R18" sheetId="4" r:id="rId5"/>
    <sheet name="R19" sheetId="5" r:id="rId6"/>
    <sheet name="R20" sheetId="7" r:id="rId7"/>
    <sheet name="R21" sheetId="10" r:id="rId8"/>
    <sheet name="R ОДИНОЧКИ" sheetId="12" r:id="rId9"/>
    <sheet name="итог" sheetId="11" r:id="rId10"/>
  </sheets>
  <definedNames>
    <definedName name="_xlnm.Print_Area" localSheetId="1">'R15'!$A$1:$G$120</definedName>
    <definedName name="_xlnm.Print_Area" localSheetId="3">'R17'!$A$1:$G$166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7" l="1"/>
  <c r="E122" i="1"/>
  <c r="F58" i="3"/>
  <c r="F24" i="10"/>
  <c r="F19" i="10"/>
  <c r="F12" i="3"/>
  <c r="F61" i="7"/>
  <c r="F17" i="10"/>
  <c r="F16" i="10"/>
  <c r="F54" i="7"/>
  <c r="F5" i="4"/>
  <c r="F52" i="4"/>
  <c r="F8" i="5"/>
  <c r="F17" i="7"/>
  <c r="F22" i="10"/>
  <c r="F21" i="10"/>
  <c r="F38" i="5"/>
  <c r="F110" i="4"/>
  <c r="F28" i="4"/>
  <c r="F7" i="10"/>
  <c r="F6" i="10"/>
  <c r="F18" i="10"/>
  <c r="F9" i="5"/>
  <c r="F10" i="10"/>
  <c r="F50" i="7"/>
  <c r="F14" i="7"/>
  <c r="F28" i="7"/>
  <c r="F117" i="4"/>
  <c r="F27" i="4"/>
  <c r="F31" i="4"/>
  <c r="F6" i="7"/>
  <c r="F56" i="3"/>
  <c r="F46" i="5"/>
  <c r="F44" i="5"/>
  <c r="F24" i="5"/>
  <c r="F31" i="5"/>
  <c r="F4" i="5"/>
  <c r="F109" i="4"/>
  <c r="F26" i="4"/>
  <c r="F20" i="10"/>
  <c r="F53" i="7"/>
  <c r="F18" i="7"/>
  <c r="F43" i="5"/>
  <c r="F20" i="5"/>
  <c r="F7" i="5"/>
  <c r="F62" i="7"/>
  <c r="F36" i="7"/>
  <c r="F35" i="7"/>
  <c r="F12" i="7"/>
  <c r="F84" i="3"/>
  <c r="F133" i="2"/>
  <c r="F53" i="4"/>
  <c r="F64" i="3"/>
  <c r="F25" i="4"/>
  <c r="F11" i="4"/>
  <c r="F44" i="7"/>
  <c r="F27" i="7"/>
  <c r="F35" i="5"/>
  <c r="F11" i="7"/>
  <c r="F26" i="5"/>
  <c r="F30" i="7"/>
  <c r="F10" i="7"/>
  <c r="F40" i="4"/>
  <c r="F32" i="4"/>
  <c r="D26" i="10"/>
  <c r="F25" i="10"/>
  <c r="F43" i="7"/>
  <c r="F28" i="5"/>
  <c r="F39" i="4"/>
  <c r="F17" i="3"/>
  <c r="F63" i="7"/>
  <c r="F37" i="7"/>
  <c r="F27" i="5"/>
  <c r="F12" i="4"/>
  <c r="F108" i="4"/>
  <c r="F88" i="4"/>
  <c r="F13" i="4"/>
  <c r="F5" i="3"/>
  <c r="F34" i="3"/>
  <c r="F6" i="4"/>
  <c r="F100" i="2"/>
  <c r="F77" i="1"/>
  <c r="F109" i="2"/>
  <c r="F143" i="2"/>
  <c r="F30" i="3"/>
  <c r="F37" i="4"/>
  <c r="F69" i="4"/>
  <c r="F95" i="3"/>
  <c r="F33" i="3"/>
  <c r="F38" i="4"/>
  <c r="F106" i="4"/>
  <c r="F45" i="4"/>
  <c r="F66" i="4"/>
  <c r="F36" i="4"/>
  <c r="F65" i="4"/>
  <c r="F95" i="4"/>
  <c r="F104" i="4"/>
  <c r="F120" i="4"/>
  <c r="F46" i="4"/>
  <c r="F67" i="4"/>
  <c r="F61" i="4"/>
  <c r="F35" i="4"/>
  <c r="F50" i="4"/>
  <c r="F18" i="5"/>
  <c r="F17" i="5"/>
  <c r="F16" i="5"/>
  <c r="F15" i="5"/>
  <c r="F14" i="5"/>
  <c r="F5" i="7"/>
  <c r="F48" i="7"/>
  <c r="F12" i="12"/>
  <c r="F87" i="4"/>
  <c r="F24" i="4"/>
  <c r="F91" i="1"/>
  <c r="F6" i="5"/>
  <c r="F8" i="4"/>
  <c r="F49" i="3"/>
  <c r="F29" i="4"/>
  <c r="F58" i="7"/>
  <c r="F23" i="7"/>
  <c r="F59" i="7"/>
  <c r="F51" i="5"/>
  <c r="F50" i="5"/>
  <c r="F25" i="5"/>
  <c r="F36" i="5"/>
  <c r="F19" i="5"/>
  <c r="F23" i="5"/>
  <c r="F30" i="4"/>
  <c r="F123" i="4"/>
  <c r="F105" i="4"/>
  <c r="F44" i="4"/>
  <c r="F82" i="4"/>
  <c r="F75" i="3"/>
  <c r="F24" i="3"/>
  <c r="F127" i="3"/>
  <c r="E26" i="10"/>
  <c r="F10" i="2" l="1"/>
  <c r="F84" i="2" l="1"/>
  <c r="F20" i="6" l="1"/>
  <c r="F19" i="6"/>
  <c r="F61" i="3" l="1"/>
  <c r="F25" i="12" l="1"/>
  <c r="F28" i="12" l="1"/>
  <c r="F3" i="12" l="1"/>
  <c r="F23" i="10" l="1"/>
  <c r="F42" i="4"/>
  <c r="F99" i="4"/>
  <c r="F15" i="7"/>
  <c r="F35" i="3"/>
  <c r="F14" i="4"/>
  <c r="F93" i="2"/>
  <c r="F36" i="3"/>
  <c r="F92" i="4" l="1"/>
  <c r="F7" i="7" l="1"/>
  <c r="F127" i="4" l="1"/>
  <c r="F64" i="7"/>
  <c r="F34" i="7"/>
  <c r="F32" i="7"/>
  <c r="F8" i="7"/>
  <c r="F22" i="5"/>
  <c r="F23" i="4"/>
  <c r="F41" i="4"/>
  <c r="F34" i="4"/>
  <c r="F15" i="4"/>
  <c r="F55" i="3"/>
  <c r="F126" i="4" l="1"/>
  <c r="F97" i="4"/>
  <c r="D66" i="7"/>
  <c r="F65" i="7"/>
  <c r="F98" i="4"/>
  <c r="F13" i="10"/>
  <c r="F47" i="5"/>
  <c r="F45" i="5"/>
  <c r="F49" i="5"/>
  <c r="F39" i="5"/>
  <c r="F13" i="7"/>
  <c r="F16" i="7"/>
  <c r="F5" i="5"/>
  <c r="F60" i="7"/>
  <c r="F45" i="7"/>
  <c r="F31" i="7"/>
  <c r="F29" i="7"/>
  <c r="F21" i="7"/>
  <c r="F29" i="5"/>
  <c r="F9" i="7"/>
  <c r="F21" i="5"/>
  <c r="F34" i="5"/>
  <c r="F30" i="5"/>
  <c r="F3" i="5"/>
  <c r="F89" i="4" l="1"/>
  <c r="F85" i="3"/>
  <c r="F65" i="3"/>
  <c r="F62" i="4"/>
  <c r="F66" i="3"/>
  <c r="F16" i="3"/>
  <c r="F100" i="4"/>
  <c r="F83" i="4"/>
  <c r="F74" i="4"/>
  <c r="F37" i="3"/>
  <c r="F94" i="2"/>
  <c r="F57" i="2"/>
  <c r="F114" i="4" l="1"/>
  <c r="F6" i="3"/>
  <c r="F29" i="3"/>
  <c r="F4" i="3"/>
  <c r="F57" i="3"/>
  <c r="F170" i="2" l="1"/>
  <c r="F31" i="3"/>
  <c r="F32" i="3"/>
  <c r="F101" i="3"/>
  <c r="F77" i="4"/>
  <c r="F40" i="5"/>
  <c r="F144" i="3"/>
  <c r="F120" i="2"/>
  <c r="F147" i="2"/>
  <c r="F139" i="2"/>
  <c r="F169" i="2" l="1"/>
  <c r="F42" i="2"/>
  <c r="F152" i="2"/>
  <c r="F141" i="2"/>
  <c r="F167" i="2"/>
  <c r="F106" i="2"/>
  <c r="F86" i="2"/>
  <c r="F60" i="2" l="1"/>
  <c r="F50" i="2"/>
  <c r="F4" i="7"/>
  <c r="F37" i="2"/>
  <c r="F99" i="2"/>
  <c r="F27" i="2"/>
  <c r="F45" i="1"/>
  <c r="F47" i="1"/>
  <c r="F111" i="1"/>
  <c r="F87" i="1"/>
  <c r="F97" i="1"/>
  <c r="F121" i="1"/>
  <c r="D122" i="1"/>
  <c r="F54" i="1"/>
  <c r="F18" i="1"/>
  <c r="F68" i="1"/>
  <c r="F39" i="1"/>
  <c r="F118" i="1"/>
  <c r="F23" i="1"/>
  <c r="F17" i="1"/>
  <c r="F93" i="4" l="1"/>
  <c r="F78" i="3" l="1"/>
  <c r="F129" i="3"/>
  <c r="F93" i="3"/>
  <c r="F56" i="4" l="1"/>
  <c r="F62" i="3"/>
  <c r="F116" i="2" l="1"/>
  <c r="F123" i="2"/>
  <c r="F155" i="3" l="1"/>
  <c r="F8" i="12" l="1"/>
  <c r="F13" i="12" l="1"/>
  <c r="F140" i="3" l="1"/>
  <c r="F154" i="2"/>
  <c r="F56" i="1"/>
  <c r="F78" i="4" l="1"/>
  <c r="F21" i="12" l="1"/>
  <c r="F41" i="12"/>
  <c r="F54" i="12"/>
  <c r="F68" i="2" l="1"/>
  <c r="F10" i="1"/>
  <c r="F4" i="1"/>
  <c r="F80" i="2"/>
  <c r="F24" i="1" l="1"/>
  <c r="F50" i="3" l="1"/>
  <c r="F56" i="7" l="1"/>
  <c r="F51" i="1" l="1"/>
  <c r="F50" i="1"/>
  <c r="F72" i="1" l="1"/>
  <c r="F96" i="1"/>
  <c r="F61" i="1"/>
  <c r="F7" i="4" l="1"/>
  <c r="F9" i="10" l="1"/>
  <c r="F107" i="1" l="1"/>
  <c r="F44" i="1" l="1"/>
  <c r="F38" i="2"/>
  <c r="F66" i="1"/>
  <c r="F73" i="1"/>
  <c r="F9" i="2" l="1"/>
  <c r="F26" i="1" l="1"/>
  <c r="F57" i="1"/>
  <c r="F10" i="12" l="1"/>
  <c r="F33" i="1" l="1"/>
  <c r="F31" i="2" l="1"/>
  <c r="F98" i="2" l="1"/>
  <c r="F19" i="12" l="1"/>
  <c r="F15" i="12"/>
  <c r="F32" i="1"/>
  <c r="F23" i="12"/>
  <c r="F26" i="12"/>
  <c r="F23" i="3" l="1"/>
  <c r="F119" i="1" l="1"/>
  <c r="F102" i="2"/>
  <c r="F83" i="3" l="1"/>
  <c r="F127" i="2" l="1"/>
  <c r="F99" i="3" l="1"/>
  <c r="F128" i="2"/>
  <c r="F69" i="3"/>
  <c r="F43" i="4"/>
  <c r="F119" i="3"/>
  <c r="F163" i="2"/>
  <c r="F142" i="2" l="1"/>
  <c r="F44" i="12" l="1"/>
  <c r="F3" i="3"/>
  <c r="F20" i="12"/>
  <c r="F8" i="3"/>
  <c r="F56" i="2"/>
  <c r="F55" i="2"/>
  <c r="F53" i="3"/>
  <c r="F111" i="4" l="1"/>
  <c r="F106" i="1"/>
  <c r="F91" i="3"/>
  <c r="F157" i="2"/>
  <c r="F171" i="2"/>
  <c r="F125" i="4"/>
  <c r="F145" i="2"/>
  <c r="F155" i="2"/>
  <c r="F20" i="3" l="1"/>
  <c r="F113" i="2" l="1"/>
  <c r="F83" i="2" l="1"/>
  <c r="F81" i="2"/>
  <c r="F146" i="2"/>
  <c r="F98" i="3" l="1"/>
  <c r="F119" i="2"/>
  <c r="F88" i="1"/>
  <c r="F168" i="2" l="1"/>
  <c r="F103" i="1" l="1"/>
  <c r="F14" i="10" l="1"/>
  <c r="F13" i="6" l="1"/>
  <c r="F85" i="4"/>
  <c r="F4" i="4"/>
  <c r="F10" i="3" l="1"/>
  <c r="F13" i="3"/>
  <c r="F14" i="3"/>
  <c r="F72" i="2"/>
  <c r="F15" i="3"/>
  <c r="F21" i="1"/>
  <c r="F15" i="6"/>
  <c r="F22" i="6"/>
  <c r="F18" i="6"/>
  <c r="F16" i="6"/>
  <c r="F100" i="3" l="1"/>
  <c r="F106" i="3"/>
  <c r="F76" i="3"/>
  <c r="F81" i="3"/>
  <c r="F77" i="3"/>
  <c r="F39" i="3"/>
  <c r="F112" i="4"/>
  <c r="F68" i="4"/>
  <c r="F80" i="3"/>
  <c r="F12" i="6" l="1"/>
  <c r="F86" i="4" l="1"/>
  <c r="F121" i="4" l="1"/>
  <c r="D56" i="12" l="1"/>
  <c r="F55" i="12"/>
  <c r="F94" i="3" l="1"/>
  <c r="F139" i="3"/>
  <c r="F39" i="7"/>
  <c r="F107" i="4"/>
  <c r="F136" i="3"/>
  <c r="F102" i="3"/>
  <c r="F76" i="2"/>
  <c r="F118" i="4" l="1"/>
  <c r="F5" i="12"/>
  <c r="F50" i="12"/>
  <c r="F24" i="12"/>
  <c r="F11" i="12"/>
  <c r="F22" i="12"/>
  <c r="F14" i="12"/>
  <c r="F9" i="12"/>
  <c r="F97" i="2"/>
  <c r="F7" i="12"/>
  <c r="F17" i="12"/>
  <c r="F18" i="12"/>
  <c r="F52" i="12"/>
  <c r="F35" i="12"/>
  <c r="F34" i="12"/>
  <c r="F33" i="12"/>
  <c r="F49" i="12"/>
  <c r="F48" i="12"/>
  <c r="F47" i="3"/>
  <c r="F48" i="5"/>
  <c r="F10" i="5"/>
  <c r="F55" i="7"/>
  <c r="F71" i="4"/>
  <c r="F115" i="4"/>
  <c r="F75" i="2"/>
  <c r="F164" i="2"/>
  <c r="F162" i="2"/>
  <c r="F141" i="3"/>
  <c r="F125" i="2" l="1"/>
  <c r="F113" i="3" l="1"/>
  <c r="F79" i="2"/>
  <c r="F16" i="1"/>
  <c r="F22" i="1" l="1"/>
  <c r="F87" i="2" l="1"/>
  <c r="F48" i="3" l="1"/>
  <c r="F26" i="2" l="1"/>
  <c r="F38" i="7" l="1"/>
  <c r="F81" i="4" l="1"/>
  <c r="F144" i="2"/>
  <c r="F97" i="3"/>
  <c r="F52" i="5" l="1"/>
  <c r="F57" i="7"/>
  <c r="F46" i="1"/>
  <c r="F137" i="2"/>
  <c r="F102" i="4" l="1"/>
  <c r="F61" i="2" l="1"/>
  <c r="F51" i="3" l="1"/>
  <c r="F10" i="4" l="1"/>
  <c r="F22" i="4"/>
  <c r="F20" i="4"/>
  <c r="F33" i="5" l="1"/>
  <c r="F25" i="2" l="1"/>
  <c r="F60" i="1"/>
  <c r="F28" i="3" l="1"/>
  <c r="F19" i="3"/>
  <c r="F45" i="2"/>
  <c r="F44" i="3" l="1"/>
  <c r="F70" i="1"/>
  <c r="F101" i="2"/>
  <c r="F112" i="3" l="1"/>
  <c r="F94" i="4" l="1"/>
  <c r="F82" i="3"/>
  <c r="F59" i="4"/>
  <c r="F103" i="4"/>
  <c r="F70" i="4"/>
  <c r="F58" i="4"/>
  <c r="F91" i="4"/>
  <c r="F55" i="4"/>
  <c r="F85" i="1"/>
  <c r="F71" i="1"/>
  <c r="F14" i="1"/>
  <c r="F79" i="4" l="1"/>
  <c r="F3" i="1"/>
  <c r="F88" i="3"/>
  <c r="F84" i="1"/>
  <c r="F135" i="3" l="1"/>
  <c r="F21" i="6" l="1"/>
  <c r="F64" i="1"/>
  <c r="F54" i="2" l="1"/>
  <c r="F21" i="4"/>
  <c r="F116" i="3"/>
  <c r="F111" i="3"/>
  <c r="F120" i="3"/>
  <c r="F111" i="2"/>
  <c r="F59" i="2" l="1"/>
  <c r="F57" i="4"/>
  <c r="F82" i="2"/>
  <c r="F63" i="1"/>
  <c r="F82" i="1" l="1"/>
  <c r="F108" i="1"/>
  <c r="F85" i="2"/>
  <c r="F46" i="2"/>
  <c r="F41" i="3"/>
  <c r="F23" i="2" l="1"/>
  <c r="F43" i="3"/>
  <c r="F29" i="1"/>
  <c r="F37" i="1"/>
  <c r="F114" i="3"/>
  <c r="F92" i="3"/>
  <c r="F14" i="6"/>
  <c r="F11" i="6"/>
  <c r="F47" i="4" l="1"/>
  <c r="F22" i="3"/>
  <c r="F79" i="3"/>
  <c r="F74" i="3"/>
  <c r="F19" i="4"/>
  <c r="F18" i="4"/>
  <c r="F54" i="3"/>
  <c r="F5" i="10" l="1"/>
  <c r="F30" i="2" l="1"/>
  <c r="F4" i="10" l="1"/>
  <c r="F21" i="2" l="1"/>
  <c r="F17" i="6"/>
  <c r="F90" i="2" l="1"/>
  <c r="F71" i="2"/>
  <c r="F72" i="4" l="1"/>
  <c r="F81" i="1"/>
  <c r="F7" i="3" l="1"/>
  <c r="F161" i="2" l="1"/>
  <c r="F110" i="1"/>
  <c r="F122" i="3"/>
  <c r="F12" i="5" l="1"/>
  <c r="F13" i="1" l="1"/>
  <c r="F121" i="3" l="1"/>
  <c r="F20" i="1"/>
  <c r="F36" i="1" l="1"/>
  <c r="F35" i="1"/>
  <c r="F34" i="1"/>
  <c r="F8" i="10" l="1"/>
  <c r="F11" i="10"/>
  <c r="F12" i="10"/>
  <c r="F15" i="10"/>
  <c r="F117" i="3" l="1"/>
  <c r="F36" i="12" l="1"/>
  <c r="F45" i="12" l="1"/>
  <c r="F73" i="2" l="1"/>
  <c r="F78" i="1" l="1"/>
  <c r="F113" i="1" l="1"/>
  <c r="F52" i="1" l="1"/>
  <c r="F91" i="2" l="1"/>
  <c r="F89" i="2"/>
  <c r="F76" i="1" l="1"/>
  <c r="F137" i="3" l="1"/>
  <c r="F10" i="6" l="1"/>
  <c r="F41" i="7" l="1"/>
  <c r="F103" i="2" l="1"/>
  <c r="F151" i="2"/>
  <c r="F52" i="7"/>
  <c r="F128" i="4"/>
  <c r="F134" i="3"/>
  <c r="F42" i="5" l="1"/>
  <c r="F71" i="3" l="1"/>
  <c r="F39" i="12" l="1"/>
  <c r="F74" i="1" l="1"/>
  <c r="F41" i="1" l="1"/>
  <c r="F118" i="2" l="1"/>
  <c r="F2" i="6"/>
  <c r="F53" i="12"/>
  <c r="F159" i="2" l="1"/>
  <c r="F65" i="2"/>
  <c r="F140" i="2" l="1"/>
  <c r="F5" i="1"/>
  <c r="F27" i="12" l="1"/>
  <c r="F42" i="12"/>
  <c r="F32" i="12"/>
  <c r="F4" i="12"/>
  <c r="F3" i="6" l="1"/>
  <c r="F89" i="1" l="1"/>
  <c r="F72" i="3" l="1"/>
  <c r="F115" i="3"/>
  <c r="F104" i="3"/>
  <c r="F4" i="2" l="1"/>
  <c r="F31" i="12" l="1"/>
  <c r="F46" i="12"/>
  <c r="F40" i="12"/>
  <c r="F38" i="12"/>
  <c r="F37" i="12" l="1"/>
  <c r="F30" i="12"/>
  <c r="E56" i="12" l="1"/>
  <c r="F51" i="12"/>
  <c r="F56" i="12" l="1"/>
  <c r="F147" i="3"/>
  <c r="F131" i="3"/>
  <c r="F92" i="2" l="1"/>
  <c r="F165" i="2" l="1"/>
  <c r="F96" i="3"/>
  <c r="F53" i="2" l="1"/>
  <c r="F3" i="10" l="1"/>
  <c r="F150" i="3" l="1"/>
  <c r="F87" i="3"/>
  <c r="F153" i="2"/>
  <c r="F124" i="2"/>
  <c r="F122" i="2"/>
  <c r="F110" i="2"/>
  <c r="F51" i="2"/>
  <c r="F69" i="1"/>
  <c r="F100" i="1" l="1"/>
  <c r="F31" i="1" l="1"/>
  <c r="F30" i="1"/>
  <c r="F24" i="2" l="1"/>
  <c r="F22" i="2"/>
  <c r="F96" i="4" l="1"/>
  <c r="F44" i="2" l="1"/>
  <c r="F11" i="3" l="1"/>
  <c r="F45" i="3"/>
  <c r="F130" i="2"/>
  <c r="F129" i="2"/>
  <c r="F17" i="4"/>
  <c r="F63" i="3"/>
  <c r="F25" i="3"/>
  <c r="F42" i="3"/>
  <c r="F27" i="3"/>
  <c r="F26" i="3" l="1"/>
  <c r="F69" i="2"/>
  <c r="F70" i="2"/>
  <c r="F117" i="2"/>
  <c r="F132" i="2"/>
  <c r="F131" i="2"/>
  <c r="F126" i="2"/>
  <c r="F52" i="2"/>
  <c r="F104" i="1"/>
  <c r="F102" i="1"/>
  <c r="F86" i="1"/>
  <c r="F62" i="1"/>
  <c r="F65" i="1"/>
  <c r="F19" i="1" l="1"/>
  <c r="F20" i="7" l="1"/>
  <c r="F154" i="3" l="1"/>
  <c r="F38" i="1" l="1"/>
  <c r="D130" i="4" l="1"/>
  <c r="F129" i="4"/>
  <c r="F80" i="4"/>
  <c r="F37" i="5"/>
  <c r="F25" i="7"/>
  <c r="F60" i="4" l="1"/>
  <c r="F109" i="3" l="1"/>
  <c r="F108" i="3"/>
  <c r="F160" i="2" l="1"/>
  <c r="F114" i="2"/>
  <c r="F36" i="2" l="1"/>
  <c r="F8" i="2"/>
  <c r="F63" i="2" l="1"/>
  <c r="F88" i="2"/>
  <c r="F67" i="2"/>
  <c r="F66" i="2"/>
  <c r="F77" i="2"/>
  <c r="F105" i="1" l="1"/>
  <c r="F98" i="1"/>
  <c r="F101" i="1"/>
  <c r="F94" i="1"/>
  <c r="F93" i="1"/>
  <c r="F92" i="1"/>
  <c r="F109" i="1"/>
  <c r="F42" i="1"/>
  <c r="F12" i="1" l="1"/>
  <c r="F8" i="1"/>
  <c r="F47" i="2" l="1"/>
  <c r="F20" i="2"/>
  <c r="F39" i="2"/>
  <c r="F40" i="2"/>
  <c r="F64" i="4" l="1"/>
  <c r="F49" i="7" l="1"/>
  <c r="F116" i="4"/>
  <c r="F119" i="4"/>
  <c r="F158" i="3"/>
  <c r="F157" i="3"/>
  <c r="F130" i="3" l="1"/>
  <c r="F11" i="1" l="1"/>
  <c r="F43" i="1"/>
  <c r="F26" i="6" l="1"/>
  <c r="F25" i="6"/>
  <c r="F24" i="6"/>
  <c r="F27" i="6"/>
  <c r="F62" i="2" l="1"/>
  <c r="F96" i="2"/>
  <c r="F5" i="2" l="1"/>
  <c r="F146" i="3"/>
  <c r="F7" i="6" l="1"/>
  <c r="F122" i="4" l="1"/>
  <c r="F73" i="4" l="1"/>
  <c r="F51" i="4"/>
  <c r="F60" i="3" l="1"/>
  <c r="F128" i="3"/>
  <c r="F110" i="3"/>
  <c r="F15" i="1"/>
  <c r="F8" i="6"/>
  <c r="F108" i="2" l="1"/>
  <c r="E53" i="5" l="1"/>
  <c r="E161" i="3"/>
  <c r="E172" i="2"/>
  <c r="E28" i="6"/>
  <c r="D172" i="2" l="1"/>
  <c r="F118" i="3"/>
  <c r="F105" i="3"/>
  <c r="F148" i="3"/>
  <c r="F143" i="3"/>
  <c r="F149" i="3"/>
  <c r="F21" i="3"/>
  <c r="F46" i="3"/>
  <c r="F40" i="3"/>
  <c r="F132" i="3"/>
  <c r="F138" i="3"/>
  <c r="F70" i="3"/>
  <c r="F125" i="3"/>
  <c r="F126" i="3"/>
  <c r="D161" i="3"/>
  <c r="F41" i="5"/>
  <c r="F13" i="5"/>
  <c r="F18" i="2"/>
  <c r="F14" i="2"/>
  <c r="F138" i="2"/>
  <c r="F136" i="2"/>
  <c r="F150" i="2"/>
  <c r="F13" i="2"/>
  <c r="F49" i="2"/>
  <c r="F115" i="2"/>
  <c r="F78" i="2"/>
  <c r="F7" i="2"/>
  <c r="F83" i="1"/>
  <c r="F90" i="1"/>
  <c r="F67" i="1"/>
  <c r="F55" i="1"/>
  <c r="F4" i="6"/>
  <c r="F6" i="6"/>
  <c r="D28" i="6"/>
  <c r="F59" i="1"/>
  <c r="F58" i="1"/>
  <c r="F48" i="1"/>
  <c r="F49" i="1"/>
  <c r="F53" i="1"/>
  <c r="F79" i="1"/>
  <c r="F25" i="1"/>
  <c r="F27" i="1"/>
  <c r="F9" i="1"/>
  <c r="E130" i="4" l="1"/>
  <c r="D53" i="5"/>
  <c r="E66" i="7"/>
  <c r="F3" i="7"/>
  <c r="B1" i="11" l="1"/>
  <c r="F42" i="7"/>
  <c r="F49" i="4"/>
  <c r="F89" i="3"/>
  <c r="F3" i="2"/>
  <c r="B2" i="11" l="1"/>
  <c r="F26" i="10"/>
  <c r="F12" i="2" l="1"/>
  <c r="F16" i="2"/>
  <c r="F17" i="2"/>
  <c r="F28" i="2"/>
  <c r="F32" i="2"/>
  <c r="F33" i="2"/>
  <c r="F34" i="2"/>
  <c r="F35" i="2"/>
  <c r="F41" i="2"/>
  <c r="F43" i="2"/>
  <c r="F48" i="2"/>
  <c r="F64" i="2"/>
  <c r="F74" i="2"/>
  <c r="F105" i="2"/>
  <c r="F107" i="2"/>
  <c r="F121" i="2"/>
  <c r="F135" i="2"/>
  <c r="F99" i="1"/>
  <c r="F117" i="1"/>
  <c r="F120" i="1"/>
  <c r="F156" i="2" l="1"/>
  <c r="F149" i="2"/>
  <c r="F114" i="1" l="1"/>
  <c r="F115" i="1"/>
  <c r="F153" i="3"/>
  <c r="F73" i="3"/>
  <c r="F160" i="3"/>
  <c r="F133" i="3" l="1"/>
  <c r="F123" i="3"/>
  <c r="F107" i="3"/>
  <c r="F151" i="3"/>
  <c r="F3" i="4"/>
  <c r="F26" i="7"/>
  <c r="F47" i="7"/>
  <c r="F66" i="7" l="1"/>
  <c r="F76" i="4"/>
  <c r="F68" i="3"/>
  <c r="F90" i="3"/>
  <c r="F145" i="3"/>
  <c r="F161" i="3" l="1"/>
  <c r="F53" i="5"/>
  <c r="F28" i="6"/>
  <c r="F130" i="4" l="1"/>
  <c r="F172" i="2" l="1"/>
  <c r="F95" i="1"/>
  <c r="F40" i="1"/>
  <c r="F7" i="1"/>
  <c r="F122" i="1" l="1"/>
  <c r="B3" i="11" s="1"/>
</calcChain>
</file>

<file path=xl/sharedStrings.xml><?xml version="1.0" encoding="utf-8"?>
<sst xmlns="http://schemas.openxmlformats.org/spreadsheetml/2006/main" count="2381" uniqueCount="548">
  <si>
    <t>R</t>
  </si>
  <si>
    <t>параметры</t>
  </si>
  <si>
    <t>производитель</t>
  </si>
  <si>
    <t>приход</t>
  </si>
  <si>
    <t>расход</t>
  </si>
  <si>
    <t>остаток</t>
  </si>
  <si>
    <t>примечание</t>
  </si>
  <si>
    <t>185/60</t>
  </si>
  <si>
    <t>185/55</t>
  </si>
  <si>
    <t>195/55</t>
  </si>
  <si>
    <t>185/65</t>
  </si>
  <si>
    <t>195/65</t>
  </si>
  <si>
    <t>225/50</t>
  </si>
  <si>
    <t>205/55</t>
  </si>
  <si>
    <t>255/55</t>
  </si>
  <si>
    <t>235/55</t>
  </si>
  <si>
    <t>245/45</t>
  </si>
  <si>
    <t>215/60</t>
  </si>
  <si>
    <t>225/65</t>
  </si>
  <si>
    <t>235/60</t>
  </si>
  <si>
    <t>235/65</t>
  </si>
  <si>
    <t>225/45</t>
  </si>
  <si>
    <t>205/50</t>
  </si>
  <si>
    <t>215/55</t>
  </si>
  <si>
    <t>215/50</t>
  </si>
  <si>
    <t>225/55</t>
  </si>
  <si>
    <t>225/60</t>
  </si>
  <si>
    <t>205/60</t>
  </si>
  <si>
    <t>195/60</t>
  </si>
  <si>
    <t>225/40</t>
  </si>
  <si>
    <t>245/50</t>
  </si>
  <si>
    <t>235/50</t>
  </si>
  <si>
    <t>шипы</t>
  </si>
  <si>
    <t>лип</t>
  </si>
  <si>
    <t>245/70</t>
  </si>
  <si>
    <t>Bridgstone noranza 2</t>
  </si>
  <si>
    <t>175/65</t>
  </si>
  <si>
    <t>275/40</t>
  </si>
  <si>
    <t>275/45</t>
  </si>
  <si>
    <t>Continental Conti Winter Viking 2</t>
  </si>
  <si>
    <t>Michelin X-ice north 3</t>
  </si>
  <si>
    <t>255/50</t>
  </si>
  <si>
    <t>ИТОГО</t>
  </si>
  <si>
    <t>275/55</t>
  </si>
  <si>
    <t>265/50</t>
  </si>
  <si>
    <t>255/45</t>
  </si>
  <si>
    <t>215/45</t>
  </si>
  <si>
    <t>245/40</t>
  </si>
  <si>
    <t>Continental Conti 4*4IceContact</t>
  </si>
  <si>
    <t>275/60</t>
  </si>
  <si>
    <t xml:space="preserve">шипы </t>
  </si>
  <si>
    <t>Gislaved nord frost5</t>
  </si>
  <si>
    <t>235/45</t>
  </si>
  <si>
    <t>Continental Conti Ice Contact 2</t>
  </si>
  <si>
    <t xml:space="preserve">Continental Conti Ice Contact </t>
  </si>
  <si>
    <t>265/65</t>
  </si>
  <si>
    <t xml:space="preserve">Michelin  X-ice </t>
  </si>
  <si>
    <t>лип RSC</t>
  </si>
  <si>
    <t xml:space="preserve"> шипы</t>
  </si>
  <si>
    <t>195/70 C</t>
  </si>
  <si>
    <t>195/75 C</t>
  </si>
  <si>
    <t>Hakka CR3</t>
  </si>
  <si>
    <t>215/70</t>
  </si>
  <si>
    <t>215/65</t>
  </si>
  <si>
    <t>Continental Conti IceContact 4*4</t>
  </si>
  <si>
    <t>Dunlop ice touch</t>
  </si>
  <si>
    <t>Michelin X-ice north 1</t>
  </si>
  <si>
    <t xml:space="preserve">Michelin X-ice </t>
  </si>
  <si>
    <t>205/65</t>
  </si>
  <si>
    <t>Bridgestone Noranza2</t>
  </si>
  <si>
    <t>Nankang Show Viva SV1</t>
  </si>
  <si>
    <t>195/75</t>
  </si>
  <si>
    <t>шип</t>
  </si>
  <si>
    <t>155/65</t>
  </si>
  <si>
    <t>Vredesrtein (НОВЫЕ)</t>
  </si>
  <si>
    <t>Nokian Hakka 5</t>
  </si>
  <si>
    <t>Nokian Hakka 7</t>
  </si>
  <si>
    <t>Nokian Hakka 8</t>
  </si>
  <si>
    <t>Nokian Hakka 4</t>
  </si>
  <si>
    <t>Nokian Hakka R</t>
  </si>
  <si>
    <t>Nokian Hakka С5</t>
  </si>
  <si>
    <t>Yokohama ig30 (НОВЫЙ)</t>
  </si>
  <si>
    <t>Yokohama ig35</t>
  </si>
  <si>
    <t>265/45</t>
  </si>
  <si>
    <t xml:space="preserve">шипы  </t>
  </si>
  <si>
    <t>Good Year ice Arctic</t>
  </si>
  <si>
    <t>Nokian Hakkapelitta 7</t>
  </si>
  <si>
    <t>Michelin x-ice 1</t>
  </si>
  <si>
    <t>Gislaved Nord Frost 5</t>
  </si>
  <si>
    <t>Good Year ultra grip 500</t>
  </si>
  <si>
    <t>Nexen 231</t>
  </si>
  <si>
    <t xml:space="preserve">лип </t>
  </si>
  <si>
    <t>Continental Viking 6</t>
  </si>
  <si>
    <t>Continental Vanco</t>
  </si>
  <si>
    <t>Continental Viking 5</t>
  </si>
  <si>
    <t>Continental ice Contact</t>
  </si>
  <si>
    <t>265/60</t>
  </si>
  <si>
    <t>Bridgestone Blizzak WS 70</t>
  </si>
  <si>
    <t>Michelin x-ice North 2</t>
  </si>
  <si>
    <t>Continental Conti Viking 3</t>
  </si>
  <si>
    <t>общее</t>
  </si>
  <si>
    <t>продано</t>
  </si>
  <si>
    <t>295/35</t>
  </si>
  <si>
    <t>липа</t>
  </si>
  <si>
    <t>255/60</t>
  </si>
  <si>
    <t>255/40</t>
  </si>
  <si>
    <t>275/50</t>
  </si>
  <si>
    <t>175/70</t>
  </si>
  <si>
    <t>Michelin x-ise</t>
  </si>
  <si>
    <t>Nokian Hakka R2</t>
  </si>
  <si>
    <t>Michelin x-ise 2</t>
  </si>
  <si>
    <t>Nokian Hakkapelita 8</t>
  </si>
  <si>
    <t>Continental ise Contact</t>
  </si>
  <si>
    <t>Continental Vikeng 6</t>
  </si>
  <si>
    <t>Continental Conti Viking 6</t>
  </si>
  <si>
    <t>Kumho I zen</t>
  </si>
  <si>
    <t>Pirelli Ice zerro</t>
  </si>
  <si>
    <t>245/65</t>
  </si>
  <si>
    <t>Continental Conti Ice Contact</t>
  </si>
  <si>
    <t>Contic ise Contact</t>
  </si>
  <si>
    <t>Nokian Norman 4</t>
  </si>
  <si>
    <t>Michelin X-ise</t>
  </si>
  <si>
    <t>Nokian Hakka 9</t>
  </si>
  <si>
    <t xml:space="preserve">Nokian Hakka R 2 </t>
  </si>
  <si>
    <t>Nokian Norman 5</t>
  </si>
  <si>
    <t>Nokian Hakka 1</t>
  </si>
  <si>
    <t>Nokian Hakkapeliitta 8</t>
  </si>
  <si>
    <t>195/50</t>
  </si>
  <si>
    <t>Michlen Xin 2</t>
  </si>
  <si>
    <t>Good Year Ise Navi NH</t>
  </si>
  <si>
    <t>Bridgestone Blizak GZ</t>
  </si>
  <si>
    <t>Bridgestone Blizak VRX</t>
  </si>
  <si>
    <t>Bridgestone Partner</t>
  </si>
  <si>
    <t>Bridgestone Blizzak VRX</t>
  </si>
  <si>
    <t>Bridgestone VRX</t>
  </si>
  <si>
    <t>Bridgestone ST30</t>
  </si>
  <si>
    <t>295/40</t>
  </si>
  <si>
    <t>Nokkian Hakka 7</t>
  </si>
  <si>
    <t>Michelin X-Ice North 2</t>
  </si>
  <si>
    <t>Nokian Hakkapelita 5</t>
  </si>
  <si>
    <t>Good Year ise Argtic</t>
  </si>
  <si>
    <t>Kumho Winter ice wi 31</t>
  </si>
  <si>
    <t>Good Year Ise Navi ZEA</t>
  </si>
  <si>
    <t>Nokian Hakkapeliitta R2</t>
  </si>
  <si>
    <t>Bridgestone Noranza 001</t>
  </si>
  <si>
    <t>Pirelli ise zero</t>
  </si>
  <si>
    <t>Bridgestone Spike 01</t>
  </si>
  <si>
    <t xml:space="preserve">Bridgestone ice Partner </t>
  </si>
  <si>
    <t>Continental Ise Contact</t>
  </si>
  <si>
    <t>Nokian Hakka7</t>
  </si>
  <si>
    <t>Good Year Ise Arctic</t>
  </si>
  <si>
    <t>Nexen spike wh 62</t>
  </si>
  <si>
    <t>Continental Viking 2</t>
  </si>
  <si>
    <t>?</t>
  </si>
  <si>
    <t xml:space="preserve">примечание </t>
  </si>
  <si>
    <t xml:space="preserve">итого </t>
  </si>
  <si>
    <t>Nokian Hakkapellitta 5</t>
  </si>
  <si>
    <t>Michelin X-ice north2</t>
  </si>
  <si>
    <t xml:space="preserve">липа </t>
  </si>
  <si>
    <t>Nokian Hakkapellitta 7</t>
  </si>
  <si>
    <t>Nokian Hakkapellitta 8</t>
  </si>
  <si>
    <t>Nokian Hakkapellitta 9</t>
  </si>
  <si>
    <t>285/60</t>
  </si>
  <si>
    <t xml:space="preserve">Continental Ice Contact </t>
  </si>
  <si>
    <t>Bridgestone Ice Cruiser 7000</t>
  </si>
  <si>
    <t>Norman 4</t>
  </si>
  <si>
    <t>Bridgestone Noranza 2</t>
  </si>
  <si>
    <t xml:space="preserve">Continental  Ice Contact </t>
  </si>
  <si>
    <t>Continental Conti Ice Contact 4*4</t>
  </si>
  <si>
    <t>Nokian Hakkapelitta R</t>
  </si>
  <si>
    <t>Bridgestone ice partner</t>
  </si>
  <si>
    <t>Dunlop DSX-2</t>
  </si>
  <si>
    <t>Continental Conti ise Contact 2</t>
  </si>
  <si>
    <t>Yokohama ice Guard IG35</t>
  </si>
  <si>
    <t>Nokian Hakkapelitta R2(новые)</t>
  </si>
  <si>
    <t>Yokohama ice Guard Ig50(новые)</t>
  </si>
  <si>
    <t>Pirelli Snow Control 3(новые)</t>
  </si>
  <si>
    <t>Mishelin X-ice north 2</t>
  </si>
  <si>
    <t>Continental Viking Contact 6</t>
  </si>
  <si>
    <t>Zeta Sport (Новые)</t>
  </si>
  <si>
    <t xml:space="preserve"> </t>
  </si>
  <si>
    <t>275/65</t>
  </si>
  <si>
    <t>Bridgestone Spine 01</t>
  </si>
  <si>
    <t xml:space="preserve">Gislaved Frost 200 </t>
  </si>
  <si>
    <t>Nokian C3</t>
  </si>
  <si>
    <t>Pirelli Carving</t>
  </si>
  <si>
    <t>Bridgestone Noranza001</t>
  </si>
  <si>
    <t>Point S Winter</t>
  </si>
  <si>
    <t>Dayton DW 700</t>
  </si>
  <si>
    <t>Marshal zen KW 22</t>
  </si>
  <si>
    <t>новые</t>
  </si>
  <si>
    <t>v</t>
  </si>
  <si>
    <t>1 ремонт</t>
  </si>
  <si>
    <t>Hankook Pike RW 2</t>
  </si>
  <si>
    <t>Yokohama Ise Guard IG35</t>
  </si>
  <si>
    <t xml:space="preserve">Michlen Latitude x-ice </t>
  </si>
  <si>
    <t>Bridgestone Spike01</t>
  </si>
  <si>
    <t>Nokian Hakka9</t>
  </si>
  <si>
    <t>Bridgestone Ise Partner2</t>
  </si>
  <si>
    <t>Good Year Ise Navi Zea2</t>
  </si>
  <si>
    <t>Bridgestone Blizzak Revo 02</t>
  </si>
  <si>
    <t xml:space="preserve">225/65 </t>
  </si>
  <si>
    <t>Bridgestone DM-V2</t>
  </si>
  <si>
    <t>Nokian Hakkapelita 4</t>
  </si>
  <si>
    <t>4 слабый</t>
  </si>
  <si>
    <t xml:space="preserve">Bridgestoun Blizak VRX </t>
  </si>
  <si>
    <t>Yokohama ice Guard IG50</t>
  </si>
  <si>
    <t>Pirelli ice Control Winter</t>
  </si>
  <si>
    <t>Yokohama ice Guard iG 50</t>
  </si>
  <si>
    <t xml:space="preserve">Michlen Drice </t>
  </si>
  <si>
    <t>Yokohama Ise Guard IG50+</t>
  </si>
  <si>
    <t xml:space="preserve">Bridgestone Blizzak GZ </t>
  </si>
  <si>
    <t xml:space="preserve">Toyo Garit G5 </t>
  </si>
  <si>
    <t xml:space="preserve">Bridgestone Revo GZ </t>
  </si>
  <si>
    <t xml:space="preserve">Bridgestone ise Partner </t>
  </si>
  <si>
    <t>Bridgestone Revo 2</t>
  </si>
  <si>
    <t>Dunlop Winter Maxx SJ8</t>
  </si>
  <si>
    <t>Dunlop DSX</t>
  </si>
  <si>
    <t>Bridgestone Blizak VRX 2</t>
  </si>
  <si>
    <t>Bridgestone ice Partner 2</t>
  </si>
  <si>
    <t>Good Year Ise Navi Zea 2</t>
  </si>
  <si>
    <t xml:space="preserve">Pirelli Ise Assimetriko </t>
  </si>
  <si>
    <t>Good Year Ise Navi 6</t>
  </si>
  <si>
    <t>Good Year Ise Navi ZEA 2</t>
  </si>
  <si>
    <t>Yokohama Ice Guard IG50</t>
  </si>
  <si>
    <t>Yokohama Ice Guard IG30</t>
  </si>
  <si>
    <t>Yokohama Ice Guard IG50+</t>
  </si>
  <si>
    <t>Yokahama Ice Guard IG30</t>
  </si>
  <si>
    <t>Yokohama ice Guard iG 60</t>
  </si>
  <si>
    <t>Yokohama ice Guard iG 30</t>
  </si>
  <si>
    <t>Yokohama ice Guard IG 20</t>
  </si>
  <si>
    <t>Yokohama ice Guard IG 50</t>
  </si>
  <si>
    <t>Yokohama ice Guard IG 30</t>
  </si>
  <si>
    <t xml:space="preserve">Yokohama ice Guard IG 50 Plus </t>
  </si>
  <si>
    <t>Michelin Latitude X-ice north 2</t>
  </si>
  <si>
    <t xml:space="preserve">Pirelli Garving </t>
  </si>
  <si>
    <t>Gislaved nord frost 100</t>
  </si>
  <si>
    <t>Yokohama Ise Guard IG30</t>
  </si>
  <si>
    <t>Yokohama Ise Guard IG20</t>
  </si>
  <si>
    <t>Yokohama Ice Guard IG60</t>
  </si>
  <si>
    <t>Yokohama ice Guard IG30</t>
  </si>
  <si>
    <t>2 рем</t>
  </si>
  <si>
    <t>Nankang Snow SW-7</t>
  </si>
  <si>
    <t>Yokohama ice Guard IG 35</t>
  </si>
  <si>
    <t xml:space="preserve">Point S winter Star </t>
  </si>
  <si>
    <t>Continental Conti Viking 1</t>
  </si>
  <si>
    <t>Good Year  Ultra Grip Extreme</t>
  </si>
  <si>
    <t>Bridgestone Blizzak GZ</t>
  </si>
  <si>
    <t>Michelin X-ice Xin3</t>
  </si>
  <si>
    <t>Hankook I Pike RW11</t>
  </si>
  <si>
    <t>Yokohama ice Guard IG20</t>
  </si>
  <si>
    <t xml:space="preserve">Dunlop DSX DIGI </t>
  </si>
  <si>
    <t>Bridgestone Blizzak Revo GZ</t>
  </si>
  <si>
    <t xml:space="preserve"> лип</t>
  </si>
  <si>
    <t>Ykohama IG Guard iG50+</t>
  </si>
  <si>
    <t>Yokohama IG Guard IG30</t>
  </si>
  <si>
    <t>Good Year ise Navi 6</t>
  </si>
  <si>
    <t>Michelin X-Ise</t>
  </si>
  <si>
    <t>Bridgestone Blizzak Rsc</t>
  </si>
  <si>
    <t>Yokohama ice Guard IG50+</t>
  </si>
  <si>
    <t>Dunlop Winter Maxx WM01</t>
  </si>
  <si>
    <t>Dunlop winter Maxx WM01</t>
  </si>
  <si>
    <t>Gislaved Frost 100</t>
  </si>
  <si>
    <t xml:space="preserve">Pirelli Winter Scorpion </t>
  </si>
  <si>
    <t xml:space="preserve">Michlen Latitude Alpin </t>
  </si>
  <si>
    <t>Yokohama Guard</t>
  </si>
  <si>
    <t>Bridgestone Blizzak DM-V1</t>
  </si>
  <si>
    <t>Yokohama  ice Guard iG 50+</t>
  </si>
  <si>
    <t>Gislaved NordFrost 200</t>
  </si>
  <si>
    <t xml:space="preserve">Yokohama ice Guard </t>
  </si>
  <si>
    <t>слабые</t>
  </si>
  <si>
    <t>Kumho I ZEN RV Stud</t>
  </si>
  <si>
    <t xml:space="preserve">липа  </t>
  </si>
  <si>
    <t>2 RSC</t>
  </si>
  <si>
    <t>Pirelli Sottozero</t>
  </si>
  <si>
    <t>Michelin x-ice north 3</t>
  </si>
  <si>
    <t>Dunlop Grandtrek SJ7</t>
  </si>
  <si>
    <t>Michelin X-ice Xi3</t>
  </si>
  <si>
    <t>Pirelli Ice zerro RSC</t>
  </si>
  <si>
    <t xml:space="preserve">Michelin Lanitude xin2 </t>
  </si>
  <si>
    <t>Bridgestone Blizzak LM-80</t>
  </si>
  <si>
    <t>Nokian Hakkapeliitta 9</t>
  </si>
  <si>
    <t>Continental ise contact2</t>
  </si>
  <si>
    <t>Pirelli Sotozero3</t>
  </si>
  <si>
    <t xml:space="preserve">215/60 </t>
  </si>
  <si>
    <t>Yokohama IG50 Plus</t>
  </si>
  <si>
    <t>Nokian WR A4</t>
  </si>
  <si>
    <t>Nokiam Hakka8</t>
  </si>
  <si>
    <t>Vredestein ARctrac</t>
  </si>
  <si>
    <t>Bridgestone Ise Crueser 7000</t>
  </si>
  <si>
    <t xml:space="preserve">Nokian Hakkapellitta 7 </t>
  </si>
  <si>
    <t>Continental Conti  Viking Contact 5</t>
  </si>
  <si>
    <t>2 слабые</t>
  </si>
  <si>
    <t xml:space="preserve">Hankook I Pike RW11 </t>
  </si>
  <si>
    <t xml:space="preserve">хлам </t>
  </si>
  <si>
    <t>хлам</t>
  </si>
  <si>
    <t>Dunlop Winter Maxx WM02</t>
  </si>
  <si>
    <t xml:space="preserve">   </t>
  </si>
  <si>
    <t>Nokian Nordman 7</t>
  </si>
  <si>
    <t>Bridgestone Blizak VRX2</t>
  </si>
  <si>
    <t>215/40</t>
  </si>
  <si>
    <t>Nexen Winguard</t>
  </si>
  <si>
    <t>Dunlop winter Maxx WM02</t>
  </si>
  <si>
    <t>Yokohama Geolandar I/T-S</t>
  </si>
  <si>
    <t>Toyo Tranpath MK4</t>
  </si>
  <si>
    <t>Good Year ICE NAVI 6</t>
  </si>
  <si>
    <t>Toyo Garit G5</t>
  </si>
  <si>
    <t xml:space="preserve">Dunlop DSX Digi-Tyae </t>
  </si>
  <si>
    <t>Continental Conti Viking Contact 6</t>
  </si>
  <si>
    <t>Yokohama ice Guard GO 75</t>
  </si>
  <si>
    <t xml:space="preserve">Toyo Garit G4 </t>
  </si>
  <si>
    <t>Good Year ice Navi Zea-2</t>
  </si>
  <si>
    <t>Yokohama ise Guard 60</t>
  </si>
  <si>
    <t>Yokohama ice Guard iG 50+</t>
  </si>
  <si>
    <t>Yokohama Guard IG 30</t>
  </si>
  <si>
    <t>Goodyear Navi Zea 2</t>
  </si>
  <si>
    <t>Nokkian Hakka 8</t>
  </si>
  <si>
    <t>Michelin Latitude X-ise</t>
  </si>
  <si>
    <t>Hankook Winter I'Pike RS</t>
  </si>
  <si>
    <t xml:space="preserve">Pirelli ice Zero </t>
  </si>
  <si>
    <t>Michlen Latitude X-ice North Xin2</t>
  </si>
  <si>
    <t>Continental Ice Contact 2</t>
  </si>
  <si>
    <t>RSC</t>
  </si>
  <si>
    <t>Michlen Agilis X-ice Nortn</t>
  </si>
  <si>
    <t>Michelin X-ise North 3</t>
  </si>
  <si>
    <t>Michelin X-ice North 3</t>
  </si>
  <si>
    <t>Hankook Winter I Pike LT</t>
  </si>
  <si>
    <t xml:space="preserve">Bridgestone Blizak RFT </t>
  </si>
  <si>
    <t>Yokohama ice Guard IG60</t>
  </si>
  <si>
    <t>Bridgestone Ise Partner 2</t>
  </si>
  <si>
    <t>Good Year IseNavi7</t>
  </si>
  <si>
    <t>Yokohama IG50 PLUS</t>
  </si>
  <si>
    <t>Toyo Garit Giz</t>
  </si>
  <si>
    <t>Yokohama iseGuard IG60</t>
  </si>
  <si>
    <t>Dunlop WinterMax WM01</t>
  </si>
  <si>
    <t>2 до шипы</t>
  </si>
  <si>
    <t>Gislaved  Nord Frost 5</t>
  </si>
  <si>
    <t>Nankang SW-7</t>
  </si>
  <si>
    <t>Dunlop SP Ice touch</t>
  </si>
  <si>
    <t>Goodyear Ultra Grip 500</t>
  </si>
  <si>
    <t>Marshal Winter ice wi 31</t>
  </si>
  <si>
    <t>Gislaved Nord Frost 100</t>
  </si>
  <si>
    <t>Goodyear UltraGrip Ice Arctic</t>
  </si>
  <si>
    <t>Gislaved Nortd Frost 200</t>
  </si>
  <si>
    <t>Gisived Nord Frost 100</t>
  </si>
  <si>
    <t xml:space="preserve">Cooper Discoverer </t>
  </si>
  <si>
    <t>Bridgestone Blizzak Spike 01</t>
  </si>
  <si>
    <t>4 жир</t>
  </si>
  <si>
    <t>Continental Conti Vicing Contact 3</t>
  </si>
  <si>
    <t>Gisived Nord Frost 200</t>
  </si>
  <si>
    <t>Michelin X-ice XI3</t>
  </si>
  <si>
    <t>Kumho KC11</t>
  </si>
  <si>
    <t>Toyo Winter Tranpath MK4a</t>
  </si>
  <si>
    <t>Yokohama  ice Guard iG 50 plus</t>
  </si>
  <si>
    <t>Toyo Garit G4</t>
  </si>
  <si>
    <t>Bridgestone Blizzak Revo 2</t>
  </si>
  <si>
    <t>Continental Viking Contact 7</t>
  </si>
  <si>
    <t>Dunlop Winter Maxx TS-01</t>
  </si>
  <si>
    <t>ремонт</t>
  </si>
  <si>
    <t>Yokohama IceGuard IG30</t>
  </si>
  <si>
    <t xml:space="preserve">8 RSC </t>
  </si>
  <si>
    <t>Good Year ise NaVI6</t>
  </si>
  <si>
    <t xml:space="preserve">Bridgestone Ice Partner </t>
  </si>
  <si>
    <t>Continental Conti  Viking Contact 6</t>
  </si>
  <si>
    <t>195/75 С</t>
  </si>
  <si>
    <t>195/65 С</t>
  </si>
  <si>
    <t>Dunlop DSX 2</t>
  </si>
  <si>
    <t xml:space="preserve">Viatti Brina Nordico </t>
  </si>
  <si>
    <t>Nokian Hakkapeliitta 5</t>
  </si>
  <si>
    <t>Nokian Nordman RS2</t>
  </si>
  <si>
    <t>6 мм 2021</t>
  </si>
  <si>
    <t>Yokahama Ice Guard IG55</t>
  </si>
  <si>
    <t>Nokian Nordman 5</t>
  </si>
  <si>
    <t>Hankook Winter I Pike RS2</t>
  </si>
  <si>
    <t>18.19</t>
  </si>
  <si>
    <t>1 ремонт 2010</t>
  </si>
  <si>
    <t>Formula Ice</t>
  </si>
  <si>
    <t>Kumho I zen kw31</t>
  </si>
  <si>
    <t>Cooper Master WSC</t>
  </si>
  <si>
    <t>Hankook I Pike RS</t>
  </si>
  <si>
    <t>Matador MP30</t>
  </si>
  <si>
    <t>4ш 2016</t>
  </si>
  <si>
    <t xml:space="preserve">Goodyear UltraGrip ice Arctic </t>
  </si>
  <si>
    <t xml:space="preserve">Toyo Observe G3-Ice </t>
  </si>
  <si>
    <t>285/50</t>
  </si>
  <si>
    <t>Yokohama Ice Guard IG55</t>
  </si>
  <si>
    <t>Hankook I Pike LT</t>
  </si>
  <si>
    <t>Sailun ise Blazer WST 3</t>
  </si>
  <si>
    <t xml:space="preserve"> Nokian Hakapellita 7</t>
  </si>
  <si>
    <t>Yokohama Ige Guard G50</t>
  </si>
  <si>
    <t>Kumho KW22</t>
  </si>
  <si>
    <t>Michelin Latitude X-ise Xin2</t>
  </si>
  <si>
    <t xml:space="preserve">4 слабые </t>
  </si>
  <si>
    <t xml:space="preserve">Bridgestone Blizzak VRX </t>
  </si>
  <si>
    <t>Michelin X-Ice North 4</t>
  </si>
  <si>
    <t>Michelin x-ice North Xin 2</t>
  </si>
  <si>
    <t>Nordman 4</t>
  </si>
  <si>
    <t>Bridgestone Revo 01</t>
  </si>
  <si>
    <t>Nikian Hakkapelita 8</t>
  </si>
  <si>
    <t>Nokian Nordman RS 2</t>
  </si>
  <si>
    <t>Bridgestoun Ice Cruiser 7000S</t>
  </si>
  <si>
    <t>Continental  Ice Contact 2</t>
  </si>
  <si>
    <t>Good Year UltrGrip 8 rsc</t>
  </si>
  <si>
    <t>Good Year Ultra Grip Extreem</t>
  </si>
  <si>
    <t>Good Year Ultra Grip 600</t>
  </si>
  <si>
    <t>17.20</t>
  </si>
  <si>
    <t>Pirelli Ice Asimetrico</t>
  </si>
  <si>
    <t>205/70</t>
  </si>
  <si>
    <t xml:space="preserve">Nokian Nordman 7 </t>
  </si>
  <si>
    <t xml:space="preserve">BFGoodrich g-Force </t>
  </si>
  <si>
    <t>Nokian Nordman 8</t>
  </si>
  <si>
    <t>Bridgestone Blizzak Spire-01</t>
  </si>
  <si>
    <t>Yokahama Ice Guard iG55</t>
  </si>
  <si>
    <t>Dunlop Sp winter ice 01</t>
  </si>
  <si>
    <t>Good Year Ultra Grip Ice Arctic</t>
  </si>
  <si>
    <t>225/70</t>
  </si>
  <si>
    <t>Yokahama Ice Guard iG 65</t>
  </si>
  <si>
    <t>Yokohama Ice Guard IG 30</t>
  </si>
  <si>
    <t>Kumho Winter  ws 31</t>
  </si>
  <si>
    <t>Michelin X-ice north 2</t>
  </si>
  <si>
    <t>Gislaved Nord Frost 200</t>
  </si>
  <si>
    <t>Marshal I Zen KW22</t>
  </si>
  <si>
    <t>Nokian Nokian 9</t>
  </si>
  <si>
    <t>Hankook I Pike RS 2</t>
  </si>
  <si>
    <t>Good Year UltraGrip Ise Arctic</t>
  </si>
  <si>
    <t>2017.19</t>
  </si>
  <si>
    <t>Dunlop Grandtrec Ice 02</t>
  </si>
  <si>
    <t>235/70</t>
  </si>
  <si>
    <t>GT Radial Ice Pro Suv 3</t>
  </si>
  <si>
    <t>Sailun ice Blazer WST3</t>
  </si>
  <si>
    <t>Sava eskimo stud</t>
  </si>
  <si>
    <t>Antares Grip 60 Ice (Новые)</t>
  </si>
  <si>
    <t>Tracmax X-Privilo S500 (Новые)</t>
  </si>
  <si>
    <t xml:space="preserve">Leao Winter Defender Grip (Новые) </t>
  </si>
  <si>
    <t>Goodride IceMaster Spike (Новые)</t>
  </si>
  <si>
    <t>Ilink SNOWGRIPPER I (Новый)</t>
  </si>
  <si>
    <t>255/35</t>
  </si>
  <si>
    <t>Ilink SNOWGRIPPER II (Новый)</t>
  </si>
  <si>
    <t>275/35</t>
  </si>
  <si>
    <t>305/40</t>
  </si>
  <si>
    <t>285/45</t>
  </si>
  <si>
    <t>Ilink SNOWGRIPPER II</t>
  </si>
  <si>
    <t>315/35</t>
  </si>
  <si>
    <t>Roadx RXFROST WH 12 (Новые)</t>
  </si>
  <si>
    <t>Roadx RXFROST FX 11 (Новые)</t>
  </si>
  <si>
    <t>Ilink WINTERVORHUT II</t>
  </si>
  <si>
    <t>Ilink WINTERVORHUT I (Новые)</t>
  </si>
  <si>
    <t xml:space="preserve">Triangle Snowlink TWT02 </t>
  </si>
  <si>
    <t>245/35</t>
  </si>
  <si>
    <t>1 рем</t>
  </si>
  <si>
    <t>Yokohama Ise Guard IG50</t>
  </si>
  <si>
    <t>17.14</t>
  </si>
  <si>
    <t>Dunlop Winter Maxx WM 01</t>
  </si>
  <si>
    <t xml:space="preserve"> RSC</t>
  </si>
  <si>
    <t xml:space="preserve"> слабый</t>
  </si>
  <si>
    <t>Dunlop Winter Sport 5</t>
  </si>
  <si>
    <t>2015/17</t>
  </si>
  <si>
    <t>Michelin Pilot Alpin 3</t>
  </si>
  <si>
    <t>Continental ContiWinterContact</t>
  </si>
  <si>
    <t>Pirelli Scorpion Ice Snow</t>
  </si>
  <si>
    <t>Michelin Alpin 5</t>
  </si>
  <si>
    <t>Toyo Snowprox S954</t>
  </si>
  <si>
    <t>4+</t>
  </si>
  <si>
    <t>Nokian Tyres WR G2</t>
  </si>
  <si>
    <t xml:space="preserve">Goodyear  UltraGrip Performance </t>
  </si>
  <si>
    <t>Pirelli Winter Scorpion 3 RSC</t>
  </si>
  <si>
    <t>Nokian Tyres WR 4</t>
  </si>
  <si>
    <t>Continental ContiWinter TS830</t>
  </si>
  <si>
    <t>Vredestein Wintrac Xtreme</t>
  </si>
  <si>
    <t>295/30</t>
  </si>
  <si>
    <t>Continental ContiICrossContact</t>
  </si>
  <si>
    <t>Nokian Tyres Hakka WR</t>
  </si>
  <si>
    <t>Pirelli Scorpion Snow</t>
  </si>
  <si>
    <t>Yokohama Geolandar G051</t>
  </si>
  <si>
    <t>Coodride ALL Sedson Elite Z-401</t>
  </si>
  <si>
    <t>кон</t>
  </si>
  <si>
    <t xml:space="preserve">Pirelli Izero(новые) </t>
  </si>
  <si>
    <t>Triangle Snowlink TWT02</t>
  </si>
  <si>
    <t>Triangle Snowlink TWT02 (новые)</t>
  </si>
  <si>
    <t>Pirelli Ice Zero 2 (новые)</t>
  </si>
  <si>
    <t>Pirelli Formula Ice (Новые)</t>
  </si>
  <si>
    <t>Powertrac Snowstar</t>
  </si>
  <si>
    <t>Ikan Hakka 8</t>
  </si>
  <si>
    <t>Kleber Krisalp HP3</t>
  </si>
  <si>
    <t>Dunlop Grandtrek ice 03</t>
  </si>
  <si>
    <t>Yokohama iCe Guard IG65</t>
  </si>
  <si>
    <t>GoodYear Ice Arctic</t>
  </si>
  <si>
    <t>Kumho Wintercraft WS31</t>
  </si>
  <si>
    <t>Pirelli ice Zero</t>
  </si>
  <si>
    <t>Good Year Ice2</t>
  </si>
  <si>
    <t>Hankook  RW11</t>
  </si>
  <si>
    <t>Gislaved Frost200</t>
  </si>
  <si>
    <t xml:space="preserve"> 245/50</t>
  </si>
  <si>
    <t>Nokian Hakka8 rsc</t>
  </si>
  <si>
    <t>Nordman 7</t>
  </si>
  <si>
    <t>Nokian Hakka10</t>
  </si>
  <si>
    <t>Michelin Xin3</t>
  </si>
  <si>
    <t>Hankook Ipike X</t>
  </si>
  <si>
    <t>Sailun Ice Blazer WST3</t>
  </si>
  <si>
    <t>Michelin Xin2</t>
  </si>
  <si>
    <t>Kormoran Snow</t>
  </si>
  <si>
    <t>Hifly Win Turi 215</t>
  </si>
  <si>
    <t xml:space="preserve">225/60 </t>
  </si>
  <si>
    <t>Hankook Ipike RW11</t>
  </si>
  <si>
    <t>DoubleStar</t>
  </si>
  <si>
    <t>Nokian R2</t>
  </si>
  <si>
    <t>Tigar ICE</t>
  </si>
  <si>
    <t>Toyo G3 ice</t>
  </si>
  <si>
    <t>Michelin Ice Snow</t>
  </si>
  <si>
    <t>BF Goodrich</t>
  </si>
  <si>
    <t>Bridgestone Ice Cruser 7000s</t>
  </si>
  <si>
    <t>2 ремонт</t>
  </si>
  <si>
    <t>Toyo Ice-Freezer</t>
  </si>
  <si>
    <t>Nokian Nordman7</t>
  </si>
  <si>
    <t>Yokohama Ice Guard</t>
  </si>
  <si>
    <t>Dunlop Winter Ice 03</t>
  </si>
  <si>
    <t>225/75</t>
  </si>
  <si>
    <t>Good Year Ice Arctic</t>
  </si>
  <si>
    <t>Continental Ice Contact2</t>
  </si>
  <si>
    <t>Nokian 8</t>
  </si>
  <si>
    <t>Kormoran Stud2</t>
  </si>
  <si>
    <t>Hankook RS2</t>
  </si>
  <si>
    <t>Bf Goodrich</t>
  </si>
  <si>
    <t>Arvo ice Claw ARW7</t>
  </si>
  <si>
    <t>Arvo ice Claw ARW7 (Новые)</t>
  </si>
  <si>
    <t>Arivo Winmaster ProX ARW3 (Новые)</t>
  </si>
  <si>
    <t>Arivo Winmaster ProX ARW5 (H)</t>
  </si>
  <si>
    <t xml:space="preserve">Arvo ice Claw ARW7 </t>
  </si>
  <si>
    <t>Tourador Ice Star TSW1 (Новые)</t>
  </si>
  <si>
    <t>Nordman 8</t>
  </si>
  <si>
    <t>Triangle Snowlink TWT02 (Новые)</t>
  </si>
  <si>
    <t>Triangle IcelynX TI501 (Новые)</t>
  </si>
  <si>
    <t>Zeta Antarctica Ice (Новые)</t>
  </si>
  <si>
    <t>235/35</t>
  </si>
  <si>
    <t>Arivo ice Claw ARW7 (Новые)</t>
  </si>
  <si>
    <t>285/30</t>
  </si>
  <si>
    <t xml:space="preserve"> Ilink WINTERVORHUT STUD II</t>
  </si>
  <si>
    <t>Ilink WINTERVORHUT</t>
  </si>
  <si>
    <t>TracmaxS330 (Новые)</t>
  </si>
  <si>
    <t>265/35</t>
  </si>
  <si>
    <t>315/40</t>
  </si>
  <si>
    <t>285/40</t>
  </si>
  <si>
    <t>325/35</t>
  </si>
  <si>
    <t>4 слабые</t>
  </si>
  <si>
    <t>Dunlop Ise 01</t>
  </si>
  <si>
    <t>Bridgestoun Blizzak LM001 RFT</t>
  </si>
  <si>
    <t>5.5мм</t>
  </si>
  <si>
    <t>Arivo ice Claw ARW7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</si>
</sst>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14"/>
      <color rgb="FF00B050"/>
      <name val="Calibri"/>
      <family val="2"/>
      <charset val="204"/>
      <scheme val="minor"/>
    </font>
    <font>
      <sz val="16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FFC000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8009"/>
        <bgColor indexed="64"/>
      </patternFill>
    </fill>
    <fill>
      <patternFill patternType="solid">
        <fgColor rgb="FF0599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right"/>
    </xf>
    <xf numFmtId="0" fontId="0" fillId="3" borderId="0" xfId="0" applyFill="1" applyAlignment="1">
      <alignment vertical="center"/>
    </xf>
    <xf numFmtId="0" fontId="0" fillId="3" borderId="4" xfId="0" applyFill="1" applyBorder="1"/>
    <xf numFmtId="0" fontId="0" fillId="0" borderId="1" xfId="0" applyBorder="1"/>
    <xf numFmtId="0" fontId="1" fillId="5" borderId="3" xfId="0" applyFont="1" applyFill="1" applyBorder="1" applyAlignment="1">
      <alignment horizontal="center" vertical="center" shrinkToFit="1"/>
    </xf>
    <xf numFmtId="0" fontId="5" fillId="3" borderId="0" xfId="0" applyFont="1" applyFill="1"/>
    <xf numFmtId="0" fontId="4" fillId="3" borderId="0" xfId="0" applyFont="1" applyFill="1" applyAlignment="1">
      <alignment horizontal="right"/>
    </xf>
    <xf numFmtId="0" fontId="4" fillId="3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shrinkToFit="1"/>
    </xf>
    <xf numFmtId="0" fontId="4" fillId="5" borderId="16" xfId="0" applyFont="1" applyFill="1" applyBorder="1" applyAlignment="1">
      <alignment horizontal="center" vertical="center" shrinkToFit="1"/>
    </xf>
    <xf numFmtId="0" fontId="4" fillId="5" borderId="17" xfId="0" applyFont="1" applyFill="1" applyBorder="1" applyAlignment="1">
      <alignment horizontal="center" vertical="center" shrinkToFit="1"/>
    </xf>
    <xf numFmtId="0" fontId="4" fillId="5" borderId="18" xfId="0" applyFont="1" applyFill="1" applyBorder="1" applyAlignment="1">
      <alignment horizontal="center" vertical="center" shrinkToFit="1"/>
    </xf>
    <xf numFmtId="0" fontId="1" fillId="10" borderId="5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3" fillId="11" borderId="7" xfId="0" applyFont="1" applyFill="1" applyBorder="1" applyAlignment="1">
      <alignment horizontal="center" vertical="center" shrinkToFit="1"/>
    </xf>
    <xf numFmtId="0" fontId="3" fillId="11" borderId="8" xfId="0" applyFont="1" applyFill="1" applyBorder="1" applyAlignment="1">
      <alignment horizontal="center" vertical="center" shrinkToFit="1"/>
    </xf>
    <xf numFmtId="0" fontId="3" fillId="11" borderId="9" xfId="0" applyFont="1" applyFill="1" applyBorder="1" applyAlignment="1">
      <alignment horizontal="center" vertical="center" shrinkToFit="1"/>
    </xf>
    <xf numFmtId="0" fontId="1" fillId="7" borderId="6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1" fillId="7" borderId="1" xfId="0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 vertical="center" shrinkToFit="1"/>
    </xf>
    <xf numFmtId="0" fontId="3" fillId="6" borderId="8" xfId="0" applyFont="1" applyFill="1" applyBorder="1" applyAlignment="1">
      <alignment horizontal="center" vertical="center" shrinkToFit="1"/>
    </xf>
    <xf numFmtId="0" fontId="3" fillId="6" borderId="9" xfId="0" applyFont="1" applyFill="1" applyBorder="1" applyAlignment="1">
      <alignment horizontal="center" vertical="center" shrinkToFit="1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0" fillId="8" borderId="1" xfId="0" applyFill="1" applyBorder="1"/>
    <xf numFmtId="0" fontId="1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2" fillId="3" borderId="0" xfId="0" applyFont="1" applyFill="1"/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center" vertical="center" shrinkToFit="1"/>
    </xf>
    <xf numFmtId="0" fontId="4" fillId="12" borderId="14" xfId="0" applyFont="1" applyFill="1" applyBorder="1" applyAlignment="1">
      <alignment horizontal="center" vertical="center" shrinkToFit="1"/>
    </xf>
    <xf numFmtId="0" fontId="4" fillId="12" borderId="15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4" fillId="4" borderId="20" xfId="0" applyFont="1" applyFill="1" applyBorder="1" applyAlignment="1">
      <alignment horizontal="center" vertical="center" shrinkToFit="1"/>
    </xf>
    <xf numFmtId="0" fontId="4" fillId="4" borderId="0" xfId="0" applyFont="1" applyFill="1" applyAlignment="1">
      <alignment horizontal="center" vertical="center" shrinkToFit="1"/>
    </xf>
    <xf numFmtId="0" fontId="4" fillId="4" borderId="21" xfId="0" applyFont="1" applyFill="1" applyBorder="1" applyAlignment="1">
      <alignment horizontal="center" vertical="center" shrinkToFit="1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0" fontId="8" fillId="3" borderId="0" xfId="0" applyFont="1" applyFill="1"/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shrinkToFit="1"/>
    </xf>
    <xf numFmtId="0" fontId="0" fillId="9" borderId="1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 shrinkToFit="1"/>
    </xf>
    <xf numFmtId="0" fontId="3" fillId="9" borderId="8" xfId="0" applyFont="1" applyFill="1" applyBorder="1" applyAlignment="1">
      <alignment horizontal="center" vertical="center" shrinkToFit="1"/>
    </xf>
    <xf numFmtId="0" fontId="3" fillId="9" borderId="9" xfId="0" applyFont="1" applyFill="1" applyBorder="1" applyAlignment="1">
      <alignment horizontal="center" vertical="center" shrinkToFit="1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/>
    </xf>
    <xf numFmtId="0" fontId="9" fillId="8" borderId="0" xfId="0" applyFont="1" applyFill="1"/>
    <xf numFmtId="0" fontId="10" fillId="9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8" borderId="25" xfId="0" applyFont="1" applyFill="1" applyBorder="1"/>
    <xf numFmtId="0" fontId="2" fillId="8" borderId="25" xfId="0" applyFont="1" applyFill="1" applyBorder="1" applyAlignment="1">
      <alignment horizontal="center"/>
    </xf>
    <xf numFmtId="0" fontId="2" fillId="8" borderId="26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6" xfId="0" applyFont="1" applyFill="1" applyBorder="1"/>
    <xf numFmtId="0" fontId="12" fillId="3" borderId="6" xfId="0" applyFont="1" applyFill="1" applyBorder="1" applyAlignment="1">
      <alignment horizontal="left"/>
    </xf>
    <xf numFmtId="0" fontId="2" fillId="8" borderId="6" xfId="0" applyFont="1" applyFill="1" applyBorder="1"/>
    <xf numFmtId="0" fontId="2" fillId="8" borderId="6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2" fillId="13" borderId="1" xfId="0" applyFont="1" applyFill="1" applyBorder="1"/>
    <xf numFmtId="0" fontId="2" fillId="13" borderId="6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 vertical="center" shrinkToFit="1"/>
    </xf>
    <xf numFmtId="0" fontId="4" fillId="8" borderId="1" xfId="0" applyFont="1" applyFill="1" applyBorder="1" applyAlignment="1">
      <alignment horizontal="center" vertical="center" shrinkToFit="1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shrinkToFit="1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 indent="2"/>
    </xf>
    <xf numFmtId="0" fontId="1" fillId="7" borderId="24" xfId="0" applyFont="1" applyFill="1" applyBorder="1" applyAlignment="1">
      <alignment horizontal="center" vertical="center" shrinkToFi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3" fontId="0" fillId="3" borderId="0" xfId="0" applyNumberFormat="1" applyFill="1"/>
    <xf numFmtId="0" fontId="2" fillId="0" borderId="2" xfId="0" applyFont="1" applyBorder="1"/>
    <xf numFmtId="0" fontId="1" fillId="8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14" fontId="0" fillId="3" borderId="0" xfId="0" applyNumberFormat="1" applyFill="1"/>
    <xf numFmtId="0" fontId="2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59905"/>
      <color rgb="FF05E982"/>
      <color rgb="FFF78009"/>
      <color rgb="FF4532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zoomScale="145" zoomScaleNormal="145" workbookViewId="0">
      <selection activeCell="G28" sqref="G28"/>
    </sheetView>
  </sheetViews>
  <sheetFormatPr defaultColWidth="9.109375" defaultRowHeight="14.4" x14ac:dyDescent="0.3"/>
  <cols>
    <col min="1" max="1" width="5.33203125" style="1" customWidth="1"/>
    <col min="2" max="2" width="10.6640625" style="1" customWidth="1"/>
    <col min="3" max="3" width="29.6640625" style="1" customWidth="1"/>
    <col min="4" max="6" width="7.44140625" style="1" customWidth="1"/>
    <col min="7" max="7" width="8.6640625" style="1" customWidth="1"/>
    <col min="8" max="16384" width="9.109375" style="1"/>
  </cols>
  <sheetData>
    <row r="1" spans="1:8" x14ac:dyDescent="0.3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</row>
    <row r="2" spans="1:8" x14ac:dyDescent="0.3">
      <c r="A2" s="26">
        <v>14</v>
      </c>
      <c r="B2" s="26" t="s">
        <v>73</v>
      </c>
      <c r="C2" s="48" t="s">
        <v>175</v>
      </c>
      <c r="D2" s="26">
        <v>8</v>
      </c>
      <c r="E2" s="26">
        <v>8</v>
      </c>
      <c r="F2" s="48">
        <f t="shared" ref="F2:F27" si="0">D2-E2</f>
        <v>0</v>
      </c>
      <c r="G2" s="50" t="s">
        <v>33</v>
      </c>
    </row>
    <row r="3" spans="1:8" x14ac:dyDescent="0.3">
      <c r="A3" s="26">
        <v>14</v>
      </c>
      <c r="B3" s="26" t="s">
        <v>73</v>
      </c>
      <c r="C3" s="48" t="s">
        <v>174</v>
      </c>
      <c r="D3" s="26">
        <v>16</v>
      </c>
      <c r="E3" s="26">
        <v>16</v>
      </c>
      <c r="F3" s="48">
        <f t="shared" si="0"/>
        <v>0</v>
      </c>
      <c r="G3" s="50" t="s">
        <v>33</v>
      </c>
    </row>
    <row r="4" spans="1:8" x14ac:dyDescent="0.3">
      <c r="A4" s="26">
        <v>14</v>
      </c>
      <c r="B4" s="26" t="s">
        <v>73</v>
      </c>
      <c r="C4" s="49" t="s">
        <v>176</v>
      </c>
      <c r="D4" s="26">
        <v>8</v>
      </c>
      <c r="E4" s="26">
        <v>8</v>
      </c>
      <c r="F4" s="48">
        <f t="shared" si="0"/>
        <v>0</v>
      </c>
      <c r="G4" s="50" t="s">
        <v>33</v>
      </c>
    </row>
    <row r="5" spans="1:8" x14ac:dyDescent="0.3">
      <c r="A5" s="102"/>
      <c r="B5" s="102" t="s">
        <v>107</v>
      </c>
      <c r="C5" s="103"/>
      <c r="D5" s="102"/>
      <c r="E5" s="102"/>
      <c r="F5" s="103"/>
      <c r="G5" s="104"/>
    </row>
    <row r="6" spans="1:8" x14ac:dyDescent="0.3">
      <c r="A6" s="26">
        <v>14</v>
      </c>
      <c r="B6" s="26" t="s">
        <v>107</v>
      </c>
      <c r="C6" s="49" t="s">
        <v>331</v>
      </c>
      <c r="D6" s="26">
        <v>8</v>
      </c>
      <c r="E6" s="26">
        <v>8</v>
      </c>
      <c r="F6" s="48">
        <f t="shared" si="0"/>
        <v>0</v>
      </c>
      <c r="G6" s="50" t="s">
        <v>33</v>
      </c>
    </row>
    <row r="7" spans="1:8" x14ac:dyDescent="0.3">
      <c r="A7" s="26">
        <v>14</v>
      </c>
      <c r="B7" s="26" t="s">
        <v>107</v>
      </c>
      <c r="C7" s="49" t="s">
        <v>74</v>
      </c>
      <c r="D7" s="26">
        <v>16</v>
      </c>
      <c r="E7" s="26">
        <v>16</v>
      </c>
      <c r="F7" s="48">
        <f t="shared" si="0"/>
        <v>0</v>
      </c>
      <c r="G7" s="50" t="s">
        <v>32</v>
      </c>
    </row>
    <row r="8" spans="1:8" x14ac:dyDescent="0.3">
      <c r="A8" s="26">
        <v>14</v>
      </c>
      <c r="B8" s="26" t="s">
        <v>107</v>
      </c>
      <c r="C8" s="49" t="s">
        <v>152</v>
      </c>
      <c r="D8" s="26">
        <v>8</v>
      </c>
      <c r="E8" s="26">
        <v>8</v>
      </c>
      <c r="F8" s="48">
        <f t="shared" si="0"/>
        <v>0</v>
      </c>
      <c r="G8" s="50" t="s">
        <v>32</v>
      </c>
    </row>
    <row r="9" spans="1:8" x14ac:dyDescent="0.3">
      <c r="A9" s="102"/>
      <c r="B9" s="102" t="s">
        <v>36</v>
      </c>
      <c r="C9" s="103"/>
      <c r="D9" s="102"/>
      <c r="E9" s="102"/>
      <c r="F9" s="103"/>
      <c r="G9" s="104"/>
    </row>
    <row r="10" spans="1:8" x14ac:dyDescent="0.3">
      <c r="A10" s="26">
        <v>14</v>
      </c>
      <c r="B10" s="26" t="s">
        <v>36</v>
      </c>
      <c r="C10" s="49" t="s">
        <v>133</v>
      </c>
      <c r="D10" s="26">
        <v>72</v>
      </c>
      <c r="E10" s="26">
        <v>58</v>
      </c>
      <c r="F10" s="48">
        <f t="shared" si="0"/>
        <v>14</v>
      </c>
      <c r="G10" s="50" t="s">
        <v>33</v>
      </c>
      <c r="H10" s="1" t="s">
        <v>153</v>
      </c>
    </row>
    <row r="11" spans="1:8" x14ac:dyDescent="0.3">
      <c r="A11" s="26">
        <v>14</v>
      </c>
      <c r="B11" s="26" t="s">
        <v>36</v>
      </c>
      <c r="C11" s="49" t="s">
        <v>213</v>
      </c>
      <c r="D11" s="26">
        <v>84</v>
      </c>
      <c r="E11" s="26">
        <v>54</v>
      </c>
      <c r="F11" s="48">
        <f t="shared" si="0"/>
        <v>30</v>
      </c>
      <c r="G11" s="50" t="s">
        <v>33</v>
      </c>
    </row>
    <row r="12" spans="1:8" x14ac:dyDescent="0.3">
      <c r="A12" s="26">
        <v>14</v>
      </c>
      <c r="B12" s="26" t="s">
        <v>36</v>
      </c>
      <c r="C12" s="49" t="s">
        <v>299</v>
      </c>
      <c r="D12" s="26">
        <v>16</v>
      </c>
      <c r="E12" s="26">
        <v>12</v>
      </c>
      <c r="F12" s="48">
        <f t="shared" si="0"/>
        <v>4</v>
      </c>
      <c r="G12" s="50" t="s">
        <v>33</v>
      </c>
    </row>
    <row r="13" spans="1:8" x14ac:dyDescent="0.3">
      <c r="A13" s="26">
        <v>14</v>
      </c>
      <c r="B13" s="26" t="s">
        <v>36</v>
      </c>
      <c r="C13" s="49" t="s">
        <v>329</v>
      </c>
      <c r="D13" s="26">
        <v>6</v>
      </c>
      <c r="E13" s="26">
        <v>6</v>
      </c>
      <c r="F13" s="48">
        <f t="shared" si="0"/>
        <v>0</v>
      </c>
      <c r="G13" s="50" t="s">
        <v>33</v>
      </c>
    </row>
    <row r="14" spans="1:8" x14ac:dyDescent="0.3">
      <c r="A14" s="26">
        <v>14</v>
      </c>
      <c r="B14" s="26" t="s">
        <v>36</v>
      </c>
      <c r="C14" s="49" t="s">
        <v>214</v>
      </c>
      <c r="D14" s="26">
        <v>24</v>
      </c>
      <c r="E14" s="26">
        <v>12</v>
      </c>
      <c r="F14" s="48">
        <f t="shared" si="0"/>
        <v>12</v>
      </c>
      <c r="G14" s="50" t="s">
        <v>33</v>
      </c>
    </row>
    <row r="15" spans="1:8" x14ac:dyDescent="0.3">
      <c r="A15" s="26">
        <v>14</v>
      </c>
      <c r="B15" s="26" t="s">
        <v>36</v>
      </c>
      <c r="C15" s="49" t="s">
        <v>311</v>
      </c>
      <c r="D15" s="26">
        <v>32</v>
      </c>
      <c r="E15" s="26">
        <v>24</v>
      </c>
      <c r="F15" s="48">
        <f t="shared" si="0"/>
        <v>8</v>
      </c>
      <c r="G15" s="50" t="s">
        <v>33</v>
      </c>
    </row>
    <row r="16" spans="1:8" x14ac:dyDescent="0.3">
      <c r="A16" s="26">
        <v>14</v>
      </c>
      <c r="B16" s="26" t="s">
        <v>36</v>
      </c>
      <c r="C16" s="49" t="s">
        <v>171</v>
      </c>
      <c r="D16" s="26">
        <v>40</v>
      </c>
      <c r="E16" s="26">
        <v>40</v>
      </c>
      <c r="F16" s="48">
        <f t="shared" si="0"/>
        <v>0</v>
      </c>
      <c r="G16" s="50" t="s">
        <v>33</v>
      </c>
    </row>
    <row r="17" spans="1:8" x14ac:dyDescent="0.3">
      <c r="A17" s="26">
        <v>14</v>
      </c>
      <c r="B17" s="26" t="s">
        <v>36</v>
      </c>
      <c r="C17" s="48" t="s">
        <v>260</v>
      </c>
      <c r="D17" s="26">
        <v>128</v>
      </c>
      <c r="E17" s="26">
        <v>124</v>
      </c>
      <c r="F17" s="48">
        <f t="shared" si="0"/>
        <v>4</v>
      </c>
      <c r="G17" s="50" t="s">
        <v>33</v>
      </c>
      <c r="H17" s="1" t="s">
        <v>153</v>
      </c>
    </row>
    <row r="18" spans="1:8" x14ac:dyDescent="0.3">
      <c r="A18" s="26">
        <v>14</v>
      </c>
      <c r="B18" s="26" t="s">
        <v>36</v>
      </c>
      <c r="C18" s="48" t="s">
        <v>296</v>
      </c>
      <c r="D18" s="26">
        <v>16</v>
      </c>
      <c r="E18" s="26">
        <v>8</v>
      </c>
      <c r="F18" s="48">
        <f t="shared" si="0"/>
        <v>8</v>
      </c>
      <c r="G18" s="50" t="s">
        <v>33</v>
      </c>
    </row>
    <row r="19" spans="1:8" x14ac:dyDescent="0.3">
      <c r="A19" s="26">
        <v>14</v>
      </c>
      <c r="B19" s="26" t="s">
        <v>36</v>
      </c>
      <c r="C19" s="48" t="s">
        <v>328</v>
      </c>
      <c r="D19" s="26">
        <v>20</v>
      </c>
      <c r="E19" s="26">
        <v>12</v>
      </c>
      <c r="F19" s="48">
        <f t="shared" si="0"/>
        <v>8</v>
      </c>
      <c r="G19" s="50" t="s">
        <v>33</v>
      </c>
    </row>
    <row r="20" spans="1:8" x14ac:dyDescent="0.3">
      <c r="A20" s="26">
        <v>14</v>
      </c>
      <c r="B20" s="26" t="s">
        <v>36</v>
      </c>
      <c r="C20" s="48" t="s">
        <v>259</v>
      </c>
      <c r="D20" s="26">
        <v>76</v>
      </c>
      <c r="E20" s="26">
        <v>24</v>
      </c>
      <c r="F20" s="48">
        <f t="shared" si="0"/>
        <v>52</v>
      </c>
      <c r="G20" s="50" t="s">
        <v>33</v>
      </c>
    </row>
    <row r="21" spans="1:8" x14ac:dyDescent="0.3">
      <c r="A21" s="26">
        <v>14</v>
      </c>
      <c r="B21" s="26" t="s">
        <v>36</v>
      </c>
      <c r="C21" s="48" t="s">
        <v>240</v>
      </c>
      <c r="D21" s="26">
        <v>92</v>
      </c>
      <c r="E21" s="26">
        <v>76</v>
      </c>
      <c r="F21" s="48">
        <f t="shared" si="0"/>
        <v>16</v>
      </c>
      <c r="G21" s="50" t="s">
        <v>33</v>
      </c>
      <c r="H21" s="1" t="s">
        <v>153</v>
      </c>
    </row>
    <row r="22" spans="1:8" x14ac:dyDescent="0.3">
      <c r="A22" s="26">
        <v>14</v>
      </c>
      <c r="B22" s="26" t="s">
        <v>36</v>
      </c>
      <c r="C22" s="48" t="s">
        <v>306</v>
      </c>
      <c r="D22" s="26">
        <v>32</v>
      </c>
      <c r="E22" s="26">
        <v>24</v>
      </c>
      <c r="F22" s="48">
        <f t="shared" si="0"/>
        <v>8</v>
      </c>
      <c r="G22" s="50" t="s">
        <v>91</v>
      </c>
    </row>
    <row r="23" spans="1:8" x14ac:dyDescent="0.3">
      <c r="A23" s="102"/>
      <c r="B23" s="102" t="s">
        <v>10</v>
      </c>
      <c r="C23" s="103"/>
      <c r="D23" s="102"/>
      <c r="E23" s="102"/>
      <c r="F23" s="103"/>
      <c r="G23" s="104"/>
    </row>
    <row r="24" spans="1:8" x14ac:dyDescent="0.3">
      <c r="A24" s="26">
        <v>14</v>
      </c>
      <c r="B24" s="26" t="s">
        <v>10</v>
      </c>
      <c r="C24" s="48" t="s">
        <v>220</v>
      </c>
      <c r="D24" s="26">
        <v>2</v>
      </c>
      <c r="E24" s="26">
        <v>2</v>
      </c>
      <c r="F24" s="48">
        <f t="shared" si="0"/>
        <v>0</v>
      </c>
      <c r="G24" s="50" t="s">
        <v>103</v>
      </c>
    </row>
    <row r="25" spans="1:8" x14ac:dyDescent="0.3">
      <c r="A25" s="26">
        <v>14</v>
      </c>
      <c r="B25" s="26" t="s">
        <v>10</v>
      </c>
      <c r="C25" s="48" t="s">
        <v>152</v>
      </c>
      <c r="D25" s="26">
        <v>4</v>
      </c>
      <c r="E25" s="26">
        <v>4</v>
      </c>
      <c r="F25" s="48">
        <f t="shared" si="0"/>
        <v>0</v>
      </c>
      <c r="G25" s="50" t="s">
        <v>32</v>
      </c>
    </row>
    <row r="26" spans="1:8" x14ac:dyDescent="0.3">
      <c r="A26" s="26">
        <v>14</v>
      </c>
      <c r="B26" s="26" t="s">
        <v>10</v>
      </c>
      <c r="C26" s="48" t="s">
        <v>76</v>
      </c>
      <c r="D26" s="26">
        <v>6</v>
      </c>
      <c r="E26" s="26">
        <v>6</v>
      </c>
      <c r="F26" s="48">
        <f t="shared" si="0"/>
        <v>0</v>
      </c>
      <c r="G26" s="50" t="s">
        <v>32</v>
      </c>
    </row>
    <row r="27" spans="1:8" x14ac:dyDescent="0.3">
      <c r="A27" s="26">
        <v>14</v>
      </c>
      <c r="B27" s="26" t="s">
        <v>10</v>
      </c>
      <c r="C27" s="48" t="s">
        <v>110</v>
      </c>
      <c r="D27" s="26">
        <v>2</v>
      </c>
      <c r="E27" s="26">
        <v>2</v>
      </c>
      <c r="F27" s="48">
        <f t="shared" si="0"/>
        <v>0</v>
      </c>
      <c r="G27" s="50" t="s">
        <v>32</v>
      </c>
    </row>
    <row r="28" spans="1:8" ht="15" thickBot="1" x14ac:dyDescent="0.35">
      <c r="C28" s="51" t="s">
        <v>42</v>
      </c>
      <c r="D28" s="68">
        <f>SUM(D2:D27)</f>
        <v>716</v>
      </c>
      <c r="E28" s="68">
        <f>SUM(E2:E27)</f>
        <v>552</v>
      </c>
      <c r="F28" s="69">
        <f>SUM(F2:F27)</f>
        <v>164</v>
      </c>
    </row>
  </sheetData>
  <sortState xmlns:xlrd2="http://schemas.microsoft.com/office/spreadsheetml/2017/richdata2" ref="A2:G7">
    <sortCondition ref="B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1"/>
  <sheetViews>
    <sheetView zoomScale="130" zoomScaleNormal="130" workbookViewId="0">
      <selection activeCell="G14" sqref="G14"/>
    </sheetView>
  </sheetViews>
  <sheetFormatPr defaultColWidth="9.109375" defaultRowHeight="14.4" x14ac:dyDescent="0.3"/>
  <cols>
    <col min="1" max="1" width="5.6640625" style="2" customWidth="1"/>
    <col min="2" max="2" width="10.88671875" style="2" customWidth="1"/>
    <col min="3" max="3" width="29.44140625" style="2" customWidth="1"/>
    <col min="4" max="4" width="7.109375" style="2" customWidth="1"/>
    <col min="5" max="5" width="6.5546875" style="2" customWidth="1"/>
    <col min="6" max="6" width="6.88671875" style="2" customWidth="1"/>
    <col min="7" max="7" width="12.88671875" style="2" customWidth="1"/>
    <col min="8" max="16384" width="9.109375" style="2"/>
  </cols>
  <sheetData>
    <row r="1" spans="1:8" ht="15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8" ht="18.600000000000001" thickBot="1" x14ac:dyDescent="0.35">
      <c r="A2" s="59"/>
      <c r="B2" s="60" t="s">
        <v>8</v>
      </c>
      <c r="C2" s="60"/>
      <c r="D2" s="60"/>
      <c r="E2" s="60"/>
      <c r="F2" s="60"/>
      <c r="G2" s="61"/>
    </row>
    <row r="3" spans="1:8" x14ac:dyDescent="0.3">
      <c r="A3" s="24">
        <v>15</v>
      </c>
      <c r="B3" s="24" t="s">
        <v>8</v>
      </c>
      <c r="C3" s="162" t="s">
        <v>245</v>
      </c>
      <c r="D3" s="24">
        <v>2</v>
      </c>
      <c r="E3" s="24">
        <v>2</v>
      </c>
      <c r="F3" s="24">
        <f t="shared" ref="F3:F107" si="0">D3-E3</f>
        <v>0</v>
      </c>
      <c r="G3" s="24" t="s">
        <v>32</v>
      </c>
    </row>
    <row r="4" spans="1:8" x14ac:dyDescent="0.3">
      <c r="A4" s="24">
        <v>15</v>
      </c>
      <c r="B4" s="24" t="s">
        <v>36</v>
      </c>
      <c r="C4" s="162" t="s">
        <v>262</v>
      </c>
      <c r="D4" s="24">
        <v>2</v>
      </c>
      <c r="E4" s="24"/>
      <c r="F4" s="24">
        <f t="shared" si="0"/>
        <v>2</v>
      </c>
      <c r="G4" s="24" t="s">
        <v>32</v>
      </c>
    </row>
    <row r="5" spans="1:8" x14ac:dyDescent="0.3">
      <c r="A5" s="24">
        <v>15</v>
      </c>
      <c r="B5" s="24" t="s">
        <v>36</v>
      </c>
      <c r="C5" s="162" t="s">
        <v>76</v>
      </c>
      <c r="D5" s="24">
        <v>4</v>
      </c>
      <c r="E5" s="24">
        <v>4</v>
      </c>
      <c r="F5" s="24">
        <f t="shared" si="0"/>
        <v>0</v>
      </c>
      <c r="G5" s="24" t="s">
        <v>32</v>
      </c>
    </row>
    <row r="6" spans="1:8" ht="18.600000000000001" thickBot="1" x14ac:dyDescent="0.35">
      <c r="A6" s="143"/>
      <c r="B6" s="144" t="s">
        <v>7</v>
      </c>
      <c r="C6" s="144"/>
      <c r="D6" s="144"/>
      <c r="E6" s="144"/>
      <c r="F6" s="144"/>
      <c r="G6" s="145"/>
    </row>
    <row r="7" spans="1:8" x14ac:dyDescent="0.3">
      <c r="A7" s="24">
        <v>15</v>
      </c>
      <c r="B7" s="24" t="s">
        <v>7</v>
      </c>
      <c r="C7" s="162" t="s">
        <v>39</v>
      </c>
      <c r="D7" s="24">
        <v>10</v>
      </c>
      <c r="E7" s="24">
        <v>10</v>
      </c>
      <c r="F7" s="24">
        <f t="shared" si="0"/>
        <v>0</v>
      </c>
      <c r="G7" s="24" t="s">
        <v>32</v>
      </c>
    </row>
    <row r="8" spans="1:8" x14ac:dyDescent="0.3">
      <c r="A8" s="24">
        <v>15</v>
      </c>
      <c r="B8" s="24" t="s">
        <v>7</v>
      </c>
      <c r="C8" s="162" t="s">
        <v>118</v>
      </c>
      <c r="D8" s="24">
        <v>26</v>
      </c>
      <c r="E8" s="24">
        <v>24</v>
      </c>
      <c r="F8" s="24">
        <f t="shared" si="0"/>
        <v>2</v>
      </c>
      <c r="G8" s="24" t="s">
        <v>32</v>
      </c>
      <c r="H8" s="2" t="s">
        <v>543</v>
      </c>
    </row>
    <row r="9" spans="1:8" x14ac:dyDescent="0.3">
      <c r="A9" s="24">
        <v>15</v>
      </c>
      <c r="B9" s="24" t="s">
        <v>7</v>
      </c>
      <c r="C9" s="162" t="s">
        <v>86</v>
      </c>
      <c r="D9" s="24">
        <v>30</v>
      </c>
      <c r="E9" s="24">
        <v>28</v>
      </c>
      <c r="F9" s="24">
        <f t="shared" ref="F9:F27" si="1">D9-E9</f>
        <v>2</v>
      </c>
      <c r="G9" s="24" t="s">
        <v>32</v>
      </c>
      <c r="H9" s="176">
        <v>2011</v>
      </c>
    </row>
    <row r="10" spans="1:8" x14ac:dyDescent="0.3">
      <c r="A10" s="24">
        <v>15</v>
      </c>
      <c r="B10" s="24" t="s">
        <v>7</v>
      </c>
      <c r="C10" s="162" t="s">
        <v>298</v>
      </c>
      <c r="D10" s="24">
        <v>8</v>
      </c>
      <c r="E10" s="24">
        <v>4</v>
      </c>
      <c r="F10" s="24">
        <f t="shared" si="1"/>
        <v>4</v>
      </c>
      <c r="G10" s="24" t="s">
        <v>32</v>
      </c>
      <c r="H10" s="176">
        <v>2018</v>
      </c>
    </row>
    <row r="11" spans="1:8" x14ac:dyDescent="0.3">
      <c r="A11" s="24">
        <v>15</v>
      </c>
      <c r="B11" s="24" t="s">
        <v>7</v>
      </c>
      <c r="C11" s="162" t="s">
        <v>111</v>
      </c>
      <c r="D11" s="24">
        <v>8</v>
      </c>
      <c r="E11" s="24">
        <v>8</v>
      </c>
      <c r="F11" s="24">
        <f t="shared" si="1"/>
        <v>0</v>
      </c>
      <c r="G11" s="24" t="s">
        <v>32</v>
      </c>
    </row>
    <row r="12" spans="1:8" x14ac:dyDescent="0.3">
      <c r="A12" s="24">
        <v>15</v>
      </c>
      <c r="B12" s="24" t="s">
        <v>7</v>
      </c>
      <c r="C12" s="162" t="s">
        <v>139</v>
      </c>
      <c r="D12" s="24">
        <v>10</v>
      </c>
      <c r="E12" s="24">
        <v>10</v>
      </c>
      <c r="F12" s="24">
        <f t="shared" si="1"/>
        <v>0</v>
      </c>
      <c r="G12" s="24" t="s">
        <v>32</v>
      </c>
    </row>
    <row r="13" spans="1:8" x14ac:dyDescent="0.3">
      <c r="A13" s="24">
        <v>15</v>
      </c>
      <c r="B13" s="24" t="s">
        <v>7</v>
      </c>
      <c r="C13" s="162" t="s">
        <v>203</v>
      </c>
      <c r="D13" s="24">
        <v>8</v>
      </c>
      <c r="E13" s="24">
        <v>8</v>
      </c>
      <c r="F13" s="24">
        <f t="shared" si="1"/>
        <v>0</v>
      </c>
      <c r="G13" s="24" t="s">
        <v>32</v>
      </c>
    </row>
    <row r="14" spans="1:8" x14ac:dyDescent="0.3">
      <c r="A14" s="24">
        <v>15</v>
      </c>
      <c r="B14" s="24" t="s">
        <v>7</v>
      </c>
      <c r="C14" s="162" t="s">
        <v>452</v>
      </c>
      <c r="D14" s="24">
        <v>8</v>
      </c>
      <c r="E14" s="24">
        <v>8</v>
      </c>
      <c r="F14" s="24">
        <f t="shared" si="1"/>
        <v>0</v>
      </c>
      <c r="G14" s="24" t="s">
        <v>33</v>
      </c>
    </row>
    <row r="15" spans="1:8" x14ac:dyDescent="0.3">
      <c r="A15" s="24">
        <v>15</v>
      </c>
      <c r="B15" s="24" t="s">
        <v>7</v>
      </c>
      <c r="C15" s="162" t="s">
        <v>177</v>
      </c>
      <c r="D15" s="24">
        <v>8</v>
      </c>
      <c r="E15" s="24">
        <v>8</v>
      </c>
      <c r="F15" s="24">
        <f t="shared" si="1"/>
        <v>0</v>
      </c>
      <c r="G15" s="24" t="s">
        <v>32</v>
      </c>
    </row>
    <row r="16" spans="1:8" x14ac:dyDescent="0.3">
      <c r="A16" s="24">
        <v>15</v>
      </c>
      <c r="B16" s="24" t="s">
        <v>7</v>
      </c>
      <c r="C16" s="162" t="s">
        <v>275</v>
      </c>
      <c r="D16" s="24">
        <v>6</v>
      </c>
      <c r="E16" s="24">
        <v>6</v>
      </c>
      <c r="F16" s="24">
        <f t="shared" si="1"/>
        <v>0</v>
      </c>
      <c r="G16" s="24" t="s">
        <v>32</v>
      </c>
    </row>
    <row r="17" spans="1:12" x14ac:dyDescent="0.3">
      <c r="A17" s="24">
        <v>15</v>
      </c>
      <c r="B17" s="24" t="s">
        <v>7</v>
      </c>
      <c r="C17" s="162" t="s">
        <v>318</v>
      </c>
      <c r="D17" s="24">
        <v>4</v>
      </c>
      <c r="E17" s="24"/>
      <c r="F17" s="24">
        <f t="shared" si="1"/>
        <v>4</v>
      </c>
      <c r="G17" s="24" t="s">
        <v>32</v>
      </c>
      <c r="H17" s="176">
        <v>2020</v>
      </c>
    </row>
    <row r="18" spans="1:12" x14ac:dyDescent="0.3">
      <c r="A18" s="24">
        <v>15</v>
      </c>
      <c r="B18" s="24" t="s">
        <v>7</v>
      </c>
      <c r="C18" s="162" t="s">
        <v>383</v>
      </c>
      <c r="D18" s="24">
        <v>2</v>
      </c>
      <c r="E18" s="24">
        <v>2</v>
      </c>
      <c r="F18" s="24">
        <f t="shared" si="1"/>
        <v>0</v>
      </c>
      <c r="G18" s="24" t="s">
        <v>32</v>
      </c>
      <c r="H18" s="176"/>
    </row>
    <row r="19" spans="1:12" x14ac:dyDescent="0.3">
      <c r="A19" s="24">
        <v>15</v>
      </c>
      <c r="B19" s="24" t="s">
        <v>7</v>
      </c>
      <c r="C19" s="162" t="s">
        <v>247</v>
      </c>
      <c r="D19" s="24">
        <v>16</v>
      </c>
      <c r="E19" s="24">
        <v>8</v>
      </c>
      <c r="F19" s="24">
        <f t="shared" si="1"/>
        <v>8</v>
      </c>
      <c r="G19" s="24" t="s">
        <v>33</v>
      </c>
    </row>
    <row r="20" spans="1:12" x14ac:dyDescent="0.3">
      <c r="A20" s="24">
        <v>15</v>
      </c>
      <c r="B20" s="24" t="s">
        <v>7</v>
      </c>
      <c r="C20" s="162" t="s">
        <v>198</v>
      </c>
      <c r="D20" s="24">
        <v>136</v>
      </c>
      <c r="E20" s="24">
        <v>96</v>
      </c>
      <c r="F20" s="24">
        <f t="shared" si="1"/>
        <v>40</v>
      </c>
      <c r="G20" s="24" t="s">
        <v>33</v>
      </c>
      <c r="H20" s="176">
        <v>2019</v>
      </c>
    </row>
    <row r="21" spans="1:12" x14ac:dyDescent="0.3">
      <c r="A21" s="24">
        <v>15</v>
      </c>
      <c r="B21" s="24" t="s">
        <v>7</v>
      </c>
      <c r="C21" s="162" t="s">
        <v>226</v>
      </c>
      <c r="D21" s="24">
        <v>4</v>
      </c>
      <c r="E21" s="24">
        <v>4</v>
      </c>
      <c r="F21" s="24">
        <f t="shared" si="1"/>
        <v>0</v>
      </c>
      <c r="G21" s="24" t="s">
        <v>33</v>
      </c>
    </row>
    <row r="22" spans="1:12" x14ac:dyDescent="0.3">
      <c r="A22" s="24">
        <v>15</v>
      </c>
      <c r="B22" s="24" t="s">
        <v>7</v>
      </c>
      <c r="C22" s="162" t="s">
        <v>403</v>
      </c>
      <c r="D22" s="24">
        <v>6</v>
      </c>
      <c r="E22" s="24">
        <v>4</v>
      </c>
      <c r="F22" s="24">
        <f t="shared" si="1"/>
        <v>2</v>
      </c>
      <c r="G22" s="24" t="s">
        <v>32</v>
      </c>
    </row>
    <row r="23" spans="1:12" x14ac:dyDescent="0.3">
      <c r="A23" s="24">
        <v>15</v>
      </c>
      <c r="B23" s="24" t="s">
        <v>7</v>
      </c>
      <c r="C23" s="162" t="s">
        <v>404</v>
      </c>
      <c r="D23" s="24">
        <v>2</v>
      </c>
      <c r="E23" s="24">
        <v>2</v>
      </c>
      <c r="F23" s="24">
        <f t="shared" si="1"/>
        <v>0</v>
      </c>
      <c r="G23" s="24" t="s">
        <v>32</v>
      </c>
      <c r="H23" s="176">
        <v>2019</v>
      </c>
    </row>
    <row r="24" spans="1:12" x14ac:dyDescent="0.3">
      <c r="A24" s="24">
        <v>15</v>
      </c>
      <c r="B24" s="24" t="s">
        <v>7</v>
      </c>
      <c r="C24" s="162" t="s">
        <v>387</v>
      </c>
      <c r="D24" s="24">
        <v>2</v>
      </c>
      <c r="E24" s="24">
        <v>2</v>
      </c>
      <c r="F24" s="24">
        <f t="shared" si="1"/>
        <v>0</v>
      </c>
      <c r="G24" s="24" t="s">
        <v>32</v>
      </c>
      <c r="H24" s="176">
        <v>2022</v>
      </c>
    </row>
    <row r="25" spans="1:12" x14ac:dyDescent="0.3">
      <c r="A25" s="24">
        <v>15</v>
      </c>
      <c r="B25" s="24" t="s">
        <v>7</v>
      </c>
      <c r="C25" s="162" t="s">
        <v>337</v>
      </c>
      <c r="D25" s="24">
        <v>2</v>
      </c>
      <c r="E25" s="24">
        <v>2</v>
      </c>
      <c r="F25" s="24">
        <f t="shared" si="1"/>
        <v>0</v>
      </c>
      <c r="G25" s="24" t="s">
        <v>32</v>
      </c>
      <c r="L25" s="2" t="s">
        <v>297</v>
      </c>
    </row>
    <row r="26" spans="1:12" x14ac:dyDescent="0.3">
      <c r="A26" s="24">
        <v>15</v>
      </c>
      <c r="B26" s="24" t="s">
        <v>7</v>
      </c>
      <c r="C26" s="162" t="s">
        <v>367</v>
      </c>
      <c r="D26" s="24">
        <v>2</v>
      </c>
      <c r="E26" s="24"/>
      <c r="F26" s="24">
        <f t="shared" si="1"/>
        <v>2</v>
      </c>
      <c r="G26" s="24" t="s">
        <v>32</v>
      </c>
    </row>
    <row r="27" spans="1:12" ht="15" thickBot="1" x14ac:dyDescent="0.35">
      <c r="A27" s="24">
        <v>15</v>
      </c>
      <c r="B27" s="24" t="s">
        <v>7</v>
      </c>
      <c r="C27" s="162" t="s">
        <v>336</v>
      </c>
      <c r="D27" s="24">
        <v>2</v>
      </c>
      <c r="E27" s="24"/>
      <c r="F27" s="24">
        <f t="shared" si="1"/>
        <v>2</v>
      </c>
      <c r="G27" s="24" t="s">
        <v>32</v>
      </c>
    </row>
    <row r="28" spans="1:12" ht="18.600000000000001" thickBot="1" x14ac:dyDescent="0.4">
      <c r="A28" s="55"/>
      <c r="B28" s="56" t="s">
        <v>10</v>
      </c>
      <c r="C28" s="58"/>
      <c r="D28" s="56"/>
      <c r="E28" s="56"/>
      <c r="F28" s="56"/>
      <c r="G28" s="57"/>
      <c r="H28" s="2" t="s">
        <v>180</v>
      </c>
    </row>
    <row r="29" spans="1:12" x14ac:dyDescent="0.3">
      <c r="A29" s="24">
        <v>15</v>
      </c>
      <c r="B29" s="24" t="s">
        <v>10</v>
      </c>
      <c r="C29" s="163" t="s">
        <v>131</v>
      </c>
      <c r="D29" s="24">
        <v>52</v>
      </c>
      <c r="E29" s="24">
        <v>52</v>
      </c>
      <c r="F29" s="24">
        <f t="shared" ref="F29:F39" si="2">D29-E29</f>
        <v>0</v>
      </c>
      <c r="G29" s="24" t="s">
        <v>33</v>
      </c>
    </row>
    <row r="30" spans="1:12" x14ac:dyDescent="0.3">
      <c r="A30" s="24">
        <v>15</v>
      </c>
      <c r="B30" s="24" t="s">
        <v>10</v>
      </c>
      <c r="C30" s="163" t="s">
        <v>218</v>
      </c>
      <c r="D30" s="24">
        <v>30</v>
      </c>
      <c r="E30" s="24">
        <v>26</v>
      </c>
      <c r="F30" s="24">
        <f t="shared" si="2"/>
        <v>4</v>
      </c>
      <c r="G30" s="24" t="s">
        <v>33</v>
      </c>
    </row>
    <row r="31" spans="1:12" x14ac:dyDescent="0.3">
      <c r="A31" s="24">
        <v>15</v>
      </c>
      <c r="B31" s="24" t="s">
        <v>10</v>
      </c>
      <c r="C31" s="163" t="s">
        <v>252</v>
      </c>
      <c r="D31" s="24">
        <v>58</v>
      </c>
      <c r="E31" s="24">
        <v>54</v>
      </c>
      <c r="F31" s="24">
        <f t="shared" si="2"/>
        <v>4</v>
      </c>
      <c r="G31" s="24" t="s">
        <v>33</v>
      </c>
    </row>
    <row r="32" spans="1:12" x14ac:dyDescent="0.3">
      <c r="A32" s="24">
        <v>15</v>
      </c>
      <c r="B32" s="24" t="s">
        <v>10</v>
      </c>
      <c r="C32" s="163" t="s">
        <v>219</v>
      </c>
      <c r="D32" s="24">
        <v>2</v>
      </c>
      <c r="E32" s="24">
        <v>2</v>
      </c>
      <c r="F32" s="24">
        <f t="shared" si="2"/>
        <v>0</v>
      </c>
      <c r="G32" s="24" t="s">
        <v>33</v>
      </c>
    </row>
    <row r="33" spans="1:10" x14ac:dyDescent="0.3">
      <c r="A33" s="24">
        <v>15</v>
      </c>
      <c r="B33" s="24" t="s">
        <v>10</v>
      </c>
      <c r="C33" s="163" t="s">
        <v>362</v>
      </c>
      <c r="D33" s="24">
        <v>4</v>
      </c>
      <c r="E33" s="24">
        <v>4</v>
      </c>
      <c r="F33" s="24">
        <f t="shared" si="2"/>
        <v>0</v>
      </c>
      <c r="G33" s="24" t="s">
        <v>33</v>
      </c>
    </row>
    <row r="34" spans="1:10" x14ac:dyDescent="0.3">
      <c r="A34" s="24">
        <v>15</v>
      </c>
      <c r="B34" s="24" t="s">
        <v>10</v>
      </c>
      <c r="C34" s="163" t="s">
        <v>146</v>
      </c>
      <c r="D34" s="24">
        <v>2</v>
      </c>
      <c r="E34" s="24">
        <v>2</v>
      </c>
      <c r="F34" s="24">
        <f t="shared" si="2"/>
        <v>0</v>
      </c>
      <c r="G34" s="24" t="s">
        <v>32</v>
      </c>
      <c r="H34" s="2" t="s">
        <v>153</v>
      </c>
    </row>
    <row r="35" spans="1:10" x14ac:dyDescent="0.3">
      <c r="A35" s="24">
        <v>15</v>
      </c>
      <c r="B35" s="24" t="s">
        <v>10</v>
      </c>
      <c r="C35" s="163" t="s">
        <v>69</v>
      </c>
      <c r="D35" s="24">
        <v>14</v>
      </c>
      <c r="E35" s="24">
        <v>14</v>
      </c>
      <c r="F35" s="24">
        <f t="shared" si="2"/>
        <v>0</v>
      </c>
      <c r="G35" s="24" t="s">
        <v>32</v>
      </c>
    </row>
    <row r="36" spans="1:10" x14ac:dyDescent="0.3">
      <c r="A36" s="24">
        <v>15</v>
      </c>
      <c r="B36" s="24" t="s">
        <v>10</v>
      </c>
      <c r="C36" s="163" t="s">
        <v>171</v>
      </c>
      <c r="D36" s="24">
        <v>14</v>
      </c>
      <c r="E36" s="24">
        <v>14</v>
      </c>
      <c r="F36" s="24">
        <f t="shared" si="2"/>
        <v>0</v>
      </c>
      <c r="G36" s="24" t="s">
        <v>33</v>
      </c>
    </row>
    <row r="37" spans="1:10" x14ac:dyDescent="0.3">
      <c r="A37" s="24">
        <v>15</v>
      </c>
      <c r="B37" s="24" t="s">
        <v>10</v>
      </c>
      <c r="C37" s="163" t="s">
        <v>296</v>
      </c>
      <c r="D37" s="24">
        <v>80</v>
      </c>
      <c r="E37" s="24">
        <v>76</v>
      </c>
      <c r="F37" s="24">
        <f t="shared" si="2"/>
        <v>4</v>
      </c>
      <c r="G37" s="24" t="s">
        <v>33</v>
      </c>
    </row>
    <row r="38" spans="1:10" x14ac:dyDescent="0.3">
      <c r="A38" s="26">
        <v>15</v>
      </c>
      <c r="B38" s="26" t="s">
        <v>10</v>
      </c>
      <c r="C38" s="164" t="s">
        <v>338</v>
      </c>
      <c r="D38" s="26">
        <v>12</v>
      </c>
      <c r="E38" s="26">
        <v>12</v>
      </c>
      <c r="F38" s="24">
        <f t="shared" si="2"/>
        <v>0</v>
      </c>
      <c r="G38" s="26" t="s">
        <v>32</v>
      </c>
    </row>
    <row r="39" spans="1:10" x14ac:dyDescent="0.3">
      <c r="A39" s="26">
        <v>15</v>
      </c>
      <c r="B39" s="26" t="s">
        <v>10</v>
      </c>
      <c r="C39" s="164" t="s">
        <v>77</v>
      </c>
      <c r="D39" s="26">
        <v>12</v>
      </c>
      <c r="E39" s="26">
        <v>12</v>
      </c>
      <c r="F39" s="24">
        <f t="shared" si="2"/>
        <v>0</v>
      </c>
      <c r="G39" s="26" t="s">
        <v>32</v>
      </c>
      <c r="H39" s="176">
        <v>0</v>
      </c>
    </row>
    <row r="40" spans="1:10" x14ac:dyDescent="0.3">
      <c r="A40" s="26">
        <v>15</v>
      </c>
      <c r="B40" s="26" t="s">
        <v>10</v>
      </c>
      <c r="C40" s="73" t="s">
        <v>76</v>
      </c>
      <c r="D40" s="26">
        <v>80</v>
      </c>
      <c r="E40" s="26">
        <v>76</v>
      </c>
      <c r="F40" s="26">
        <f t="shared" si="0"/>
        <v>4</v>
      </c>
      <c r="G40" s="26" t="s">
        <v>32</v>
      </c>
      <c r="H40" s="2" t="s">
        <v>405</v>
      </c>
    </row>
    <row r="41" spans="1:10" x14ac:dyDescent="0.3">
      <c r="A41" s="26">
        <v>15</v>
      </c>
      <c r="B41" s="26" t="s">
        <v>10</v>
      </c>
      <c r="C41" s="73" t="s">
        <v>75</v>
      </c>
      <c r="D41" s="26">
        <v>64</v>
      </c>
      <c r="E41" s="26">
        <v>64</v>
      </c>
      <c r="F41" s="26">
        <f t="shared" si="0"/>
        <v>0</v>
      </c>
      <c r="G41" s="26" t="s">
        <v>32</v>
      </c>
      <c r="H41" s="178" t="s">
        <v>381</v>
      </c>
    </row>
    <row r="42" spans="1:10" x14ac:dyDescent="0.3">
      <c r="A42" s="26">
        <v>15</v>
      </c>
      <c r="B42" s="26" t="s">
        <v>10</v>
      </c>
      <c r="C42" s="73" t="s">
        <v>124</v>
      </c>
      <c r="D42" s="26">
        <v>30</v>
      </c>
      <c r="E42" s="26">
        <v>30</v>
      </c>
      <c r="F42" s="28">
        <f t="shared" si="0"/>
        <v>0</v>
      </c>
      <c r="G42" s="26" t="s">
        <v>32</v>
      </c>
    </row>
    <row r="43" spans="1:10" x14ac:dyDescent="0.3">
      <c r="A43" s="26">
        <v>15</v>
      </c>
      <c r="B43" s="26" t="s">
        <v>10</v>
      </c>
      <c r="C43" s="73" t="s">
        <v>120</v>
      </c>
      <c r="D43" s="26">
        <v>18</v>
      </c>
      <c r="E43" s="26">
        <v>16</v>
      </c>
      <c r="F43" s="28">
        <f t="shared" si="0"/>
        <v>2</v>
      </c>
      <c r="G43" s="26" t="s">
        <v>32</v>
      </c>
      <c r="H43" s="2" t="s">
        <v>153</v>
      </c>
    </row>
    <row r="44" spans="1:10" x14ac:dyDescent="0.3">
      <c r="A44" s="26">
        <v>15</v>
      </c>
      <c r="B44" s="26" t="s">
        <v>10</v>
      </c>
      <c r="C44" s="73" t="s">
        <v>298</v>
      </c>
      <c r="D44" s="26">
        <v>14</v>
      </c>
      <c r="E44" s="26">
        <v>14</v>
      </c>
      <c r="F44" s="28">
        <f t="shared" si="0"/>
        <v>0</v>
      </c>
      <c r="G44" s="26" t="s">
        <v>32</v>
      </c>
      <c r="H44" s="2" t="s">
        <v>292</v>
      </c>
      <c r="I44" s="2" t="s">
        <v>374</v>
      </c>
      <c r="J44" s="178"/>
    </row>
    <row r="45" spans="1:10" x14ac:dyDescent="0.3">
      <c r="A45" s="26">
        <v>15</v>
      </c>
      <c r="B45" s="26" t="s">
        <v>10</v>
      </c>
      <c r="C45" s="73" t="s">
        <v>410</v>
      </c>
      <c r="D45" s="26">
        <v>4</v>
      </c>
      <c r="E45" s="26">
        <v>4</v>
      </c>
      <c r="F45" s="28">
        <f t="shared" si="0"/>
        <v>0</v>
      </c>
      <c r="G45" s="26" t="s">
        <v>32</v>
      </c>
      <c r="H45" s="176">
        <v>2021</v>
      </c>
      <c r="J45" s="178"/>
    </row>
    <row r="46" spans="1:10" x14ac:dyDescent="0.3">
      <c r="A46" s="26">
        <v>15</v>
      </c>
      <c r="B46" s="26" t="s">
        <v>10</v>
      </c>
      <c r="C46" s="73" t="s">
        <v>379</v>
      </c>
      <c r="D46" s="26">
        <v>6</v>
      </c>
      <c r="E46" s="26">
        <v>6</v>
      </c>
      <c r="F46" s="28">
        <f t="shared" si="0"/>
        <v>0</v>
      </c>
      <c r="G46" s="26" t="s">
        <v>32</v>
      </c>
    </row>
    <row r="47" spans="1:10" x14ac:dyDescent="0.3">
      <c r="A47" s="26">
        <v>15</v>
      </c>
      <c r="B47" s="26" t="s">
        <v>10</v>
      </c>
      <c r="C47" s="73" t="s">
        <v>409</v>
      </c>
      <c r="D47" s="26">
        <v>4</v>
      </c>
      <c r="E47" s="26">
        <v>4</v>
      </c>
      <c r="F47" s="28">
        <f t="shared" si="0"/>
        <v>0</v>
      </c>
      <c r="G47" s="26" t="s">
        <v>32</v>
      </c>
      <c r="H47" s="176">
        <v>2017</v>
      </c>
    </row>
    <row r="48" spans="1:10" x14ac:dyDescent="0.3">
      <c r="A48" s="26">
        <v>15</v>
      </c>
      <c r="B48" s="26" t="s">
        <v>10</v>
      </c>
      <c r="C48" s="73" t="s">
        <v>189</v>
      </c>
      <c r="D48" s="26">
        <v>2</v>
      </c>
      <c r="E48" s="26">
        <v>2</v>
      </c>
      <c r="F48" s="28">
        <f t="shared" si="0"/>
        <v>0</v>
      </c>
      <c r="G48" s="26" t="s">
        <v>32</v>
      </c>
    </row>
    <row r="49" spans="1:8" x14ac:dyDescent="0.3">
      <c r="A49" s="26">
        <v>15</v>
      </c>
      <c r="B49" s="26" t="s">
        <v>10</v>
      </c>
      <c r="C49" s="73" t="s">
        <v>188</v>
      </c>
      <c r="D49" s="26">
        <v>2</v>
      </c>
      <c r="E49" s="26">
        <v>2</v>
      </c>
      <c r="F49" s="28">
        <f t="shared" si="0"/>
        <v>0</v>
      </c>
      <c r="G49" s="26" t="s">
        <v>32</v>
      </c>
    </row>
    <row r="50" spans="1:8" x14ac:dyDescent="0.3">
      <c r="A50" s="26">
        <v>15</v>
      </c>
      <c r="B50" s="26" t="s">
        <v>10</v>
      </c>
      <c r="C50" s="73" t="s">
        <v>376</v>
      </c>
      <c r="D50" s="26">
        <v>8</v>
      </c>
      <c r="E50" s="26">
        <v>8</v>
      </c>
      <c r="F50" s="28">
        <f t="shared" si="0"/>
        <v>0</v>
      </c>
      <c r="G50" s="26" t="s">
        <v>32</v>
      </c>
      <c r="H50" s="2">
        <v>2022</v>
      </c>
    </row>
    <row r="51" spans="1:8" x14ac:dyDescent="0.3">
      <c r="A51" s="26">
        <v>15</v>
      </c>
      <c r="B51" s="26" t="s">
        <v>10</v>
      </c>
      <c r="C51" s="73" t="s">
        <v>383</v>
      </c>
      <c r="D51" s="26">
        <v>4</v>
      </c>
      <c r="E51" s="26">
        <v>4</v>
      </c>
      <c r="F51" s="28">
        <f t="shared" si="0"/>
        <v>0</v>
      </c>
      <c r="G51" s="26" t="s">
        <v>32</v>
      </c>
    </row>
    <row r="52" spans="1:8" x14ac:dyDescent="0.3">
      <c r="A52" s="26">
        <v>15</v>
      </c>
      <c r="B52" s="26" t="s">
        <v>10</v>
      </c>
      <c r="C52" s="73" t="s">
        <v>187</v>
      </c>
      <c r="D52" s="26">
        <v>2</v>
      </c>
      <c r="E52" s="26">
        <v>2</v>
      </c>
      <c r="F52" s="28">
        <f t="shared" si="0"/>
        <v>0</v>
      </c>
      <c r="G52" s="26" t="s">
        <v>32</v>
      </c>
    </row>
    <row r="53" spans="1:8" x14ac:dyDescent="0.3">
      <c r="A53" s="26">
        <v>15</v>
      </c>
      <c r="B53" s="26" t="s">
        <v>10</v>
      </c>
      <c r="C53" s="73" t="s">
        <v>406</v>
      </c>
      <c r="D53" s="26">
        <v>6</v>
      </c>
      <c r="E53" s="26">
        <v>6</v>
      </c>
      <c r="F53" s="28">
        <f t="shared" si="0"/>
        <v>0</v>
      </c>
      <c r="G53" s="26" t="s">
        <v>33</v>
      </c>
    </row>
    <row r="54" spans="1:8" x14ac:dyDescent="0.3">
      <c r="A54" s="26">
        <v>15</v>
      </c>
      <c r="B54" s="26" t="s">
        <v>10</v>
      </c>
      <c r="C54" s="73" t="s">
        <v>319</v>
      </c>
      <c r="D54" s="26">
        <v>4</v>
      </c>
      <c r="E54" s="26">
        <v>4</v>
      </c>
      <c r="F54" s="28">
        <f t="shared" si="0"/>
        <v>0</v>
      </c>
      <c r="G54" s="26" t="s">
        <v>32</v>
      </c>
      <c r="H54" s="176">
        <v>2020</v>
      </c>
    </row>
    <row r="55" spans="1:8" x14ac:dyDescent="0.3">
      <c r="A55" s="26">
        <v>15</v>
      </c>
      <c r="B55" s="26" t="s">
        <v>10</v>
      </c>
      <c r="C55" s="73" t="s">
        <v>88</v>
      </c>
      <c r="D55" s="26">
        <v>12</v>
      </c>
      <c r="E55" s="26">
        <v>8</v>
      </c>
      <c r="F55" s="28">
        <f t="shared" si="0"/>
        <v>4</v>
      </c>
      <c r="G55" s="26" t="s">
        <v>50</v>
      </c>
    </row>
    <row r="56" spans="1:8" x14ac:dyDescent="0.3">
      <c r="A56" s="26">
        <v>15</v>
      </c>
      <c r="B56" s="26" t="s">
        <v>10</v>
      </c>
      <c r="C56" s="73" t="s">
        <v>341</v>
      </c>
      <c r="D56" s="26">
        <v>2</v>
      </c>
      <c r="E56" s="26"/>
      <c r="F56" s="28">
        <f t="shared" si="0"/>
        <v>2</v>
      </c>
      <c r="G56" s="26" t="s">
        <v>50</v>
      </c>
    </row>
    <row r="57" spans="1:8" x14ac:dyDescent="0.3">
      <c r="A57" s="26">
        <v>15</v>
      </c>
      <c r="B57" s="26" t="s">
        <v>10</v>
      </c>
      <c r="C57" s="73" t="s">
        <v>390</v>
      </c>
      <c r="D57" s="26">
        <v>4</v>
      </c>
      <c r="E57" s="26">
        <v>4</v>
      </c>
      <c r="F57" s="28">
        <f t="shared" si="0"/>
        <v>0</v>
      </c>
      <c r="G57" s="26" t="s">
        <v>32</v>
      </c>
    </row>
    <row r="58" spans="1:8" x14ac:dyDescent="0.3">
      <c r="A58" s="26">
        <v>15</v>
      </c>
      <c r="B58" s="26" t="s">
        <v>10</v>
      </c>
      <c r="C58" s="73" t="s">
        <v>87</v>
      </c>
      <c r="D58" s="26">
        <v>22</v>
      </c>
      <c r="E58" s="26">
        <v>22</v>
      </c>
      <c r="F58" s="28">
        <f t="shared" si="0"/>
        <v>0</v>
      </c>
      <c r="G58" s="26" t="s">
        <v>50</v>
      </c>
    </row>
    <row r="59" spans="1:8" x14ac:dyDescent="0.3">
      <c r="A59" s="26">
        <v>15</v>
      </c>
      <c r="B59" s="26" t="s">
        <v>10</v>
      </c>
      <c r="C59" s="73" t="s">
        <v>395</v>
      </c>
      <c r="D59" s="26">
        <v>26</v>
      </c>
      <c r="E59" s="26">
        <v>26</v>
      </c>
      <c r="F59" s="28">
        <f t="shared" si="0"/>
        <v>0</v>
      </c>
      <c r="G59" s="26" t="s">
        <v>50</v>
      </c>
    </row>
    <row r="60" spans="1:8" x14ac:dyDescent="0.3">
      <c r="A60" s="26">
        <v>15</v>
      </c>
      <c r="B60" s="26" t="s">
        <v>10</v>
      </c>
      <c r="C60" s="73" t="s">
        <v>257</v>
      </c>
      <c r="D60" s="26">
        <v>8</v>
      </c>
      <c r="E60" s="26">
        <v>8</v>
      </c>
      <c r="F60" s="28">
        <f t="shared" si="0"/>
        <v>0</v>
      </c>
      <c r="G60" s="26" t="s">
        <v>33</v>
      </c>
    </row>
    <row r="61" spans="1:8" x14ac:dyDescent="0.3">
      <c r="A61" s="26">
        <v>15</v>
      </c>
      <c r="B61" s="26" t="s">
        <v>10</v>
      </c>
      <c r="C61" s="73" t="s">
        <v>380</v>
      </c>
      <c r="D61" s="26">
        <v>4</v>
      </c>
      <c r="E61" s="26"/>
      <c r="F61" s="28">
        <f t="shared" si="0"/>
        <v>4</v>
      </c>
      <c r="G61" s="26" t="s">
        <v>32</v>
      </c>
      <c r="H61" s="176">
        <v>2019</v>
      </c>
    </row>
    <row r="62" spans="1:8" x14ac:dyDescent="0.3">
      <c r="A62" s="26">
        <v>15</v>
      </c>
      <c r="B62" s="26" t="s">
        <v>10</v>
      </c>
      <c r="C62" s="73" t="s">
        <v>224</v>
      </c>
      <c r="D62" s="26">
        <v>16</v>
      </c>
      <c r="E62" s="26">
        <v>16</v>
      </c>
      <c r="F62" s="28">
        <f t="shared" si="0"/>
        <v>0</v>
      </c>
      <c r="G62" s="26" t="s">
        <v>33</v>
      </c>
    </row>
    <row r="63" spans="1:8" x14ac:dyDescent="0.3">
      <c r="A63" s="26">
        <v>15</v>
      </c>
      <c r="B63" s="26" t="s">
        <v>10</v>
      </c>
      <c r="C63" s="73" t="s">
        <v>226</v>
      </c>
      <c r="D63" s="26">
        <v>44</v>
      </c>
      <c r="E63" s="26">
        <v>40</v>
      </c>
      <c r="F63" s="28">
        <f t="shared" si="0"/>
        <v>4</v>
      </c>
      <c r="G63" s="26" t="s">
        <v>33</v>
      </c>
    </row>
    <row r="64" spans="1:8" x14ac:dyDescent="0.3">
      <c r="A64" s="26">
        <v>15</v>
      </c>
      <c r="B64" s="26" t="s">
        <v>10</v>
      </c>
      <c r="C64" s="73" t="s">
        <v>239</v>
      </c>
      <c r="D64" s="26">
        <v>8</v>
      </c>
      <c r="E64" s="26"/>
      <c r="F64" s="28">
        <f t="shared" si="0"/>
        <v>8</v>
      </c>
      <c r="G64" s="26" t="s">
        <v>33</v>
      </c>
    </row>
    <row r="65" spans="1:8" x14ac:dyDescent="0.3">
      <c r="A65" s="26">
        <v>15</v>
      </c>
      <c r="B65" s="26" t="s">
        <v>10</v>
      </c>
      <c r="C65" s="73" t="s">
        <v>227</v>
      </c>
      <c r="D65" s="26">
        <v>38</v>
      </c>
      <c r="E65" s="26">
        <v>38</v>
      </c>
      <c r="F65" s="28">
        <f t="shared" si="0"/>
        <v>0</v>
      </c>
      <c r="G65" s="26" t="s">
        <v>33</v>
      </c>
    </row>
    <row r="66" spans="1:8" x14ac:dyDescent="0.3">
      <c r="A66" s="26">
        <v>15</v>
      </c>
      <c r="B66" s="26" t="s">
        <v>10</v>
      </c>
      <c r="C66" s="73" t="s">
        <v>371</v>
      </c>
      <c r="D66" s="26">
        <v>4</v>
      </c>
      <c r="E66" s="26">
        <v>4</v>
      </c>
      <c r="F66" s="28">
        <f t="shared" si="0"/>
        <v>0</v>
      </c>
      <c r="G66" s="26" t="s">
        <v>32</v>
      </c>
      <c r="H66" s="176">
        <v>2018</v>
      </c>
    </row>
    <row r="67" spans="1:8" x14ac:dyDescent="0.3">
      <c r="A67" s="26">
        <v>15</v>
      </c>
      <c r="B67" s="26" t="s">
        <v>10</v>
      </c>
      <c r="C67" s="73" t="s">
        <v>89</v>
      </c>
      <c r="D67" s="26">
        <v>10</v>
      </c>
      <c r="E67" s="26">
        <v>10</v>
      </c>
      <c r="F67" s="28">
        <f t="shared" si="0"/>
        <v>0</v>
      </c>
      <c r="G67" s="26" t="s">
        <v>50</v>
      </c>
    </row>
    <row r="68" spans="1:8" x14ac:dyDescent="0.3">
      <c r="A68" s="26">
        <v>15</v>
      </c>
      <c r="B68" s="26" t="s">
        <v>10</v>
      </c>
      <c r="C68" s="73" t="s">
        <v>404</v>
      </c>
      <c r="D68" s="26">
        <v>4</v>
      </c>
      <c r="E68" s="26">
        <v>4</v>
      </c>
      <c r="F68" s="28">
        <f t="shared" si="0"/>
        <v>0</v>
      </c>
      <c r="G68" s="26" t="s">
        <v>32</v>
      </c>
      <c r="H68" s="176">
        <v>2019</v>
      </c>
    </row>
    <row r="69" spans="1:8" x14ac:dyDescent="0.3">
      <c r="A69" s="26">
        <v>15</v>
      </c>
      <c r="B69" s="26" t="s">
        <v>10</v>
      </c>
      <c r="C69" s="73" t="s">
        <v>361</v>
      </c>
      <c r="D69" s="26">
        <v>8</v>
      </c>
      <c r="E69" s="26">
        <v>8</v>
      </c>
      <c r="F69" s="28">
        <f t="shared" si="0"/>
        <v>0</v>
      </c>
      <c r="G69" s="26" t="s">
        <v>33</v>
      </c>
    </row>
    <row r="70" spans="1:8" x14ac:dyDescent="0.3">
      <c r="A70" s="26">
        <v>15</v>
      </c>
      <c r="B70" s="26" t="s">
        <v>10</v>
      </c>
      <c r="C70" s="73" t="s">
        <v>199</v>
      </c>
      <c r="D70" s="26">
        <v>16</v>
      </c>
      <c r="E70" s="26">
        <v>16</v>
      </c>
      <c r="F70" s="28">
        <f t="shared" si="0"/>
        <v>0</v>
      </c>
      <c r="G70" s="26" t="s">
        <v>33</v>
      </c>
      <c r="H70" s="2" t="s">
        <v>270</v>
      </c>
    </row>
    <row r="71" spans="1:8" x14ac:dyDescent="0.3">
      <c r="A71" s="26">
        <v>15</v>
      </c>
      <c r="B71" s="26" t="s">
        <v>10</v>
      </c>
      <c r="C71" s="73" t="s">
        <v>129</v>
      </c>
      <c r="D71" s="26">
        <v>4</v>
      </c>
      <c r="E71" s="26">
        <v>4</v>
      </c>
      <c r="F71" s="28">
        <f t="shared" si="0"/>
        <v>0</v>
      </c>
      <c r="G71" s="26" t="s">
        <v>33</v>
      </c>
    </row>
    <row r="72" spans="1:8" x14ac:dyDescent="0.3">
      <c r="A72" s="26">
        <v>15</v>
      </c>
      <c r="B72" s="26" t="s">
        <v>10</v>
      </c>
      <c r="C72" s="73" t="s">
        <v>382</v>
      </c>
      <c r="D72" s="26">
        <v>10</v>
      </c>
      <c r="E72" s="26">
        <v>10</v>
      </c>
      <c r="F72" s="28">
        <f t="shared" si="0"/>
        <v>0</v>
      </c>
      <c r="G72" s="26" t="s">
        <v>32</v>
      </c>
      <c r="H72" s="176">
        <v>2017</v>
      </c>
    </row>
    <row r="73" spans="1:8" x14ac:dyDescent="0.3">
      <c r="A73" s="26">
        <v>15</v>
      </c>
      <c r="B73" s="26" t="s">
        <v>10</v>
      </c>
      <c r="C73" s="73" t="s">
        <v>356</v>
      </c>
      <c r="D73" s="26">
        <v>4</v>
      </c>
      <c r="E73" s="26">
        <v>4</v>
      </c>
      <c r="F73" s="28">
        <f t="shared" si="0"/>
        <v>0</v>
      </c>
      <c r="G73" s="26" t="s">
        <v>33</v>
      </c>
      <c r="H73" s="2" t="s">
        <v>370</v>
      </c>
    </row>
    <row r="74" spans="1:8" ht="15" thickBot="1" x14ac:dyDescent="0.35">
      <c r="A74" s="26">
        <v>15</v>
      </c>
      <c r="B74" s="26" t="s">
        <v>10</v>
      </c>
      <c r="C74" s="73" t="s">
        <v>178</v>
      </c>
      <c r="D74" s="26">
        <v>2</v>
      </c>
      <c r="E74" s="26">
        <v>2</v>
      </c>
      <c r="F74" s="28">
        <f t="shared" si="0"/>
        <v>0</v>
      </c>
      <c r="G74" s="26" t="s">
        <v>33</v>
      </c>
    </row>
    <row r="75" spans="1:8" ht="18" x14ac:dyDescent="0.3">
      <c r="A75" s="64"/>
      <c r="B75" s="65" t="s">
        <v>9</v>
      </c>
      <c r="C75" s="65"/>
      <c r="D75" s="65"/>
      <c r="E75" s="65"/>
      <c r="F75" s="65"/>
      <c r="G75" s="66"/>
    </row>
    <row r="76" spans="1:8" x14ac:dyDescent="0.3">
      <c r="A76" s="24">
        <v>15</v>
      </c>
      <c r="B76" s="24" t="s">
        <v>9</v>
      </c>
      <c r="C76" s="163" t="s">
        <v>112</v>
      </c>
      <c r="D76" s="24">
        <v>6</v>
      </c>
      <c r="E76" s="24">
        <v>2</v>
      </c>
      <c r="F76" s="28">
        <f t="shared" si="0"/>
        <v>4</v>
      </c>
      <c r="G76" s="24" t="s">
        <v>72</v>
      </c>
    </row>
    <row r="77" spans="1:8" x14ac:dyDescent="0.3">
      <c r="A77" s="24">
        <v>15</v>
      </c>
      <c r="B77" s="24" t="s">
        <v>9</v>
      </c>
      <c r="C77" s="163" t="s">
        <v>514</v>
      </c>
      <c r="D77" s="24">
        <v>4</v>
      </c>
      <c r="E77" s="24">
        <v>4</v>
      </c>
      <c r="F77" s="28">
        <f t="shared" si="0"/>
        <v>0</v>
      </c>
      <c r="G77" s="24" t="s">
        <v>72</v>
      </c>
    </row>
    <row r="78" spans="1:8" x14ac:dyDescent="0.3">
      <c r="A78" s="24">
        <v>15</v>
      </c>
      <c r="B78" s="24" t="s">
        <v>9</v>
      </c>
      <c r="C78" s="163" t="s">
        <v>298</v>
      </c>
      <c r="D78" s="24">
        <v>10</v>
      </c>
      <c r="E78" s="24">
        <v>10</v>
      </c>
      <c r="F78" s="28">
        <f t="shared" si="0"/>
        <v>0</v>
      </c>
      <c r="G78" s="24" t="s">
        <v>32</v>
      </c>
    </row>
    <row r="79" spans="1:8" ht="15" thickBot="1" x14ac:dyDescent="0.35">
      <c r="A79" s="26">
        <v>15</v>
      </c>
      <c r="B79" s="26" t="s">
        <v>9</v>
      </c>
      <c r="C79" s="164" t="s">
        <v>90</v>
      </c>
      <c r="D79" s="26">
        <v>4</v>
      </c>
      <c r="E79" s="26">
        <v>2</v>
      </c>
      <c r="F79" s="28">
        <f t="shared" si="0"/>
        <v>2</v>
      </c>
      <c r="G79" s="26" t="s">
        <v>32</v>
      </c>
    </row>
    <row r="80" spans="1:8" ht="18.600000000000001" thickBot="1" x14ac:dyDescent="0.35">
      <c r="A80" s="55"/>
      <c r="B80" s="56" t="s">
        <v>11</v>
      </c>
      <c r="C80" s="56"/>
      <c r="D80" s="56"/>
      <c r="E80" s="56"/>
      <c r="F80" s="56"/>
      <c r="G80" s="57"/>
    </row>
    <row r="81" spans="1:8" x14ac:dyDescent="0.3">
      <c r="A81" s="24">
        <v>15</v>
      </c>
      <c r="B81" s="24" t="s">
        <v>11</v>
      </c>
      <c r="C81" s="162" t="s">
        <v>404</v>
      </c>
      <c r="D81" s="24">
        <v>20</v>
      </c>
      <c r="E81" s="24">
        <v>20</v>
      </c>
      <c r="F81" s="24">
        <f t="shared" ref="F81:F94" si="3">D81-E81</f>
        <v>0</v>
      </c>
      <c r="G81" s="24" t="s">
        <v>33</v>
      </c>
      <c r="H81" s="176">
        <v>2019</v>
      </c>
    </row>
    <row r="82" spans="1:8" x14ac:dyDescent="0.3">
      <c r="A82" s="24">
        <v>15</v>
      </c>
      <c r="B82" s="24" t="s">
        <v>11</v>
      </c>
      <c r="C82" s="162" t="s">
        <v>223</v>
      </c>
      <c r="D82" s="24">
        <v>16</v>
      </c>
      <c r="E82" s="24">
        <v>16</v>
      </c>
      <c r="F82" s="24">
        <f t="shared" si="3"/>
        <v>0</v>
      </c>
      <c r="G82" s="24" t="s">
        <v>33</v>
      </c>
    </row>
    <row r="83" spans="1:8" x14ac:dyDescent="0.3">
      <c r="A83" s="24">
        <v>15</v>
      </c>
      <c r="B83" s="24" t="s">
        <v>11</v>
      </c>
      <c r="C83" s="162" t="s">
        <v>85</v>
      </c>
      <c r="D83" s="24">
        <v>10</v>
      </c>
      <c r="E83" s="24">
        <v>6</v>
      </c>
      <c r="F83" s="24">
        <f t="shared" si="3"/>
        <v>4</v>
      </c>
      <c r="G83" s="24" t="s">
        <v>50</v>
      </c>
      <c r="H83" s="2" t="s">
        <v>192</v>
      </c>
    </row>
    <row r="84" spans="1:8" x14ac:dyDescent="0.3">
      <c r="A84" s="24">
        <v>15</v>
      </c>
      <c r="B84" s="24" t="s">
        <v>11</v>
      </c>
      <c r="C84" s="162" t="s">
        <v>262</v>
      </c>
      <c r="D84" s="24">
        <v>10</v>
      </c>
      <c r="E84" s="24">
        <v>8</v>
      </c>
      <c r="F84" s="24">
        <f t="shared" si="3"/>
        <v>2</v>
      </c>
      <c r="G84" s="24" t="s">
        <v>32</v>
      </c>
    </row>
    <row r="85" spans="1:8" x14ac:dyDescent="0.3">
      <c r="A85" s="24">
        <v>15</v>
      </c>
      <c r="B85" s="24" t="s">
        <v>11</v>
      </c>
      <c r="C85" s="162" t="s">
        <v>226</v>
      </c>
      <c r="D85" s="24">
        <v>30</v>
      </c>
      <c r="E85" s="24">
        <v>30</v>
      </c>
      <c r="F85" s="24">
        <f t="shared" si="3"/>
        <v>0</v>
      </c>
      <c r="G85" s="24" t="s">
        <v>33</v>
      </c>
      <c r="H85" s="2" t="s">
        <v>153</v>
      </c>
    </row>
    <row r="86" spans="1:8" x14ac:dyDescent="0.3">
      <c r="A86" s="24">
        <v>15</v>
      </c>
      <c r="B86" s="24" t="s">
        <v>11</v>
      </c>
      <c r="C86" s="162" t="s">
        <v>224</v>
      </c>
      <c r="D86" s="24">
        <v>28</v>
      </c>
      <c r="E86" s="24">
        <v>28</v>
      </c>
      <c r="F86" s="24">
        <f t="shared" si="3"/>
        <v>0</v>
      </c>
      <c r="G86" s="24" t="s">
        <v>33</v>
      </c>
    </row>
    <row r="87" spans="1:8" x14ac:dyDescent="0.3">
      <c r="A87" s="24">
        <v>15</v>
      </c>
      <c r="B87" s="24" t="s">
        <v>11</v>
      </c>
      <c r="C87" s="162" t="s">
        <v>385</v>
      </c>
      <c r="D87" s="24">
        <v>4</v>
      </c>
      <c r="E87" s="24">
        <v>4</v>
      </c>
      <c r="F87" s="24">
        <f t="shared" si="3"/>
        <v>0</v>
      </c>
      <c r="G87" s="24" t="s">
        <v>32</v>
      </c>
      <c r="H87" s="176">
        <v>2021</v>
      </c>
    </row>
    <row r="88" spans="1:8" x14ac:dyDescent="0.3">
      <c r="A88" s="24">
        <v>15</v>
      </c>
      <c r="B88" s="24" t="s">
        <v>11</v>
      </c>
      <c r="C88" s="162" t="s">
        <v>318</v>
      </c>
      <c r="D88" s="24">
        <v>6</v>
      </c>
      <c r="E88" s="24">
        <v>4</v>
      </c>
      <c r="F88" s="24">
        <f t="shared" si="3"/>
        <v>2</v>
      </c>
      <c r="G88" s="24" t="s">
        <v>32</v>
      </c>
    </row>
    <row r="89" spans="1:8" x14ac:dyDescent="0.3">
      <c r="A89" s="26">
        <v>15</v>
      </c>
      <c r="B89" s="26" t="s">
        <v>11</v>
      </c>
      <c r="C89" s="73" t="s">
        <v>53</v>
      </c>
      <c r="D89" s="26">
        <v>6</v>
      </c>
      <c r="E89" s="26">
        <v>6</v>
      </c>
      <c r="F89" s="24">
        <f>D89-E89</f>
        <v>0</v>
      </c>
      <c r="G89" s="26" t="s">
        <v>32</v>
      </c>
    </row>
    <row r="90" spans="1:8" x14ac:dyDescent="0.3">
      <c r="A90" s="26">
        <v>15</v>
      </c>
      <c r="B90" s="26" t="s">
        <v>11</v>
      </c>
      <c r="C90" s="164" t="s">
        <v>54</v>
      </c>
      <c r="D90" s="26">
        <v>156</v>
      </c>
      <c r="E90" s="26">
        <v>146</v>
      </c>
      <c r="F90" s="24">
        <f t="shared" si="3"/>
        <v>10</v>
      </c>
      <c r="G90" s="26" t="s">
        <v>32</v>
      </c>
    </row>
    <row r="91" spans="1:8" x14ac:dyDescent="0.3">
      <c r="A91" s="26">
        <v>15</v>
      </c>
      <c r="B91" s="26" t="s">
        <v>11</v>
      </c>
      <c r="C91" s="164" t="s">
        <v>482</v>
      </c>
      <c r="D91" s="26">
        <v>4</v>
      </c>
      <c r="E91" s="26">
        <v>4</v>
      </c>
      <c r="F91" s="24">
        <f t="shared" si="3"/>
        <v>0</v>
      </c>
      <c r="G91" s="26" t="s">
        <v>32</v>
      </c>
      <c r="H91" s="176">
        <v>2024</v>
      </c>
    </row>
    <row r="92" spans="1:8" x14ac:dyDescent="0.3">
      <c r="A92" s="26">
        <v>15</v>
      </c>
      <c r="B92" s="26" t="s">
        <v>11</v>
      </c>
      <c r="C92" s="73" t="s">
        <v>77</v>
      </c>
      <c r="D92" s="26">
        <v>70</v>
      </c>
      <c r="E92" s="26">
        <v>70</v>
      </c>
      <c r="F92" s="24">
        <f t="shared" si="3"/>
        <v>0</v>
      </c>
      <c r="G92" s="26" t="s">
        <v>32</v>
      </c>
    </row>
    <row r="93" spans="1:8" x14ac:dyDescent="0.3">
      <c r="A93" s="26">
        <v>15</v>
      </c>
      <c r="B93" s="26" t="s">
        <v>11</v>
      </c>
      <c r="C93" s="73" t="s">
        <v>76</v>
      </c>
      <c r="D93" s="26">
        <v>84</v>
      </c>
      <c r="E93" s="26">
        <v>84</v>
      </c>
      <c r="F93" s="24">
        <f t="shared" si="3"/>
        <v>0</v>
      </c>
      <c r="G93" s="26" t="s">
        <v>32</v>
      </c>
      <c r="H93" s="2" t="s">
        <v>270</v>
      </c>
    </row>
    <row r="94" spans="1:8" x14ac:dyDescent="0.3">
      <c r="A94" s="26">
        <v>15</v>
      </c>
      <c r="B94" s="26" t="s">
        <v>11</v>
      </c>
      <c r="C94" s="73" t="s">
        <v>75</v>
      </c>
      <c r="D94" s="26">
        <v>54</v>
      </c>
      <c r="E94" s="26">
        <v>54</v>
      </c>
      <c r="F94" s="24">
        <f t="shared" si="3"/>
        <v>0</v>
      </c>
      <c r="G94" s="26" t="s">
        <v>32</v>
      </c>
      <c r="H94" s="176"/>
    </row>
    <row r="95" spans="1:8" x14ac:dyDescent="0.3">
      <c r="A95" s="26">
        <v>15</v>
      </c>
      <c r="B95" s="26" t="s">
        <v>11</v>
      </c>
      <c r="C95" s="73" t="s">
        <v>396</v>
      </c>
      <c r="D95" s="26">
        <v>8</v>
      </c>
      <c r="E95" s="26">
        <v>8</v>
      </c>
      <c r="F95" s="26">
        <f t="shared" si="0"/>
        <v>0</v>
      </c>
      <c r="G95" s="26" t="s">
        <v>32</v>
      </c>
    </row>
    <row r="96" spans="1:8" x14ac:dyDescent="0.3">
      <c r="A96" s="26">
        <v>15</v>
      </c>
      <c r="B96" s="26" t="s">
        <v>11</v>
      </c>
      <c r="C96" s="73" t="s">
        <v>372</v>
      </c>
      <c r="D96" s="26">
        <v>12</v>
      </c>
      <c r="E96" s="26">
        <v>8</v>
      </c>
      <c r="F96" s="26">
        <f t="shared" si="0"/>
        <v>4</v>
      </c>
      <c r="G96" s="26" t="s">
        <v>32</v>
      </c>
      <c r="H96" s="176">
        <v>2019</v>
      </c>
    </row>
    <row r="97" spans="1:8" x14ac:dyDescent="0.3">
      <c r="A97" s="26">
        <v>15</v>
      </c>
      <c r="B97" s="26" t="s">
        <v>11</v>
      </c>
      <c r="C97" s="73" t="s">
        <v>408</v>
      </c>
      <c r="D97" s="26">
        <v>8</v>
      </c>
      <c r="E97" s="26">
        <v>4</v>
      </c>
      <c r="F97" s="26">
        <f t="shared" si="0"/>
        <v>4</v>
      </c>
      <c r="G97" s="26" t="s">
        <v>32</v>
      </c>
      <c r="H97" s="176">
        <v>2020</v>
      </c>
    </row>
    <row r="98" spans="1:8" x14ac:dyDescent="0.3">
      <c r="A98" s="26">
        <v>15</v>
      </c>
      <c r="B98" s="26" t="s">
        <v>11</v>
      </c>
      <c r="C98" s="73" t="s">
        <v>143</v>
      </c>
      <c r="D98" s="26">
        <v>4</v>
      </c>
      <c r="E98" s="26">
        <v>4</v>
      </c>
      <c r="F98" s="26">
        <f t="shared" si="0"/>
        <v>0</v>
      </c>
      <c r="G98" s="26" t="s">
        <v>33</v>
      </c>
    </row>
    <row r="99" spans="1:8" x14ac:dyDescent="0.3">
      <c r="A99" s="26">
        <v>15</v>
      </c>
      <c r="B99" s="26" t="s">
        <v>11</v>
      </c>
      <c r="C99" s="73" t="s">
        <v>67</v>
      </c>
      <c r="D99" s="26">
        <v>30</v>
      </c>
      <c r="E99" s="26">
        <v>30</v>
      </c>
      <c r="F99" s="26">
        <f t="shared" si="0"/>
        <v>0</v>
      </c>
      <c r="G99" s="26" t="s">
        <v>33</v>
      </c>
    </row>
    <row r="100" spans="1:8" x14ac:dyDescent="0.3">
      <c r="A100" s="26">
        <v>15</v>
      </c>
      <c r="B100" s="26" t="s">
        <v>11</v>
      </c>
      <c r="C100" s="73" t="s">
        <v>138</v>
      </c>
      <c r="D100" s="26">
        <v>22</v>
      </c>
      <c r="E100" s="26">
        <v>20</v>
      </c>
      <c r="F100" s="26">
        <f t="shared" si="0"/>
        <v>2</v>
      </c>
      <c r="G100" s="26" t="s">
        <v>32</v>
      </c>
    </row>
    <row r="101" spans="1:8" x14ac:dyDescent="0.3">
      <c r="A101" s="26">
        <v>15</v>
      </c>
      <c r="B101" s="26" t="s">
        <v>11</v>
      </c>
      <c r="C101" s="73" t="s">
        <v>325</v>
      </c>
      <c r="D101" s="26">
        <v>12</v>
      </c>
      <c r="E101" s="26">
        <v>12</v>
      </c>
      <c r="F101" s="26">
        <f t="shared" si="0"/>
        <v>0</v>
      </c>
      <c r="G101" s="26" t="s">
        <v>32</v>
      </c>
    </row>
    <row r="102" spans="1:8" x14ac:dyDescent="0.3">
      <c r="A102" s="26">
        <v>15</v>
      </c>
      <c r="B102" s="26" t="s">
        <v>11</v>
      </c>
      <c r="C102" s="164" t="s">
        <v>131</v>
      </c>
      <c r="D102" s="26">
        <v>44</v>
      </c>
      <c r="E102" s="26">
        <v>40</v>
      </c>
      <c r="F102" s="26">
        <f t="shared" si="0"/>
        <v>4</v>
      </c>
      <c r="G102" s="26" t="s">
        <v>33</v>
      </c>
    </row>
    <row r="103" spans="1:8" x14ac:dyDescent="0.3">
      <c r="A103" s="26">
        <v>15</v>
      </c>
      <c r="B103" s="26" t="s">
        <v>11</v>
      </c>
      <c r="C103" s="164" t="s">
        <v>198</v>
      </c>
      <c r="D103" s="26">
        <v>4</v>
      </c>
      <c r="E103" s="26">
        <v>4</v>
      </c>
      <c r="F103" s="26">
        <f t="shared" si="0"/>
        <v>0</v>
      </c>
      <c r="G103" s="26" t="s">
        <v>33</v>
      </c>
    </row>
    <row r="104" spans="1:8" x14ac:dyDescent="0.3">
      <c r="A104" s="26">
        <v>15</v>
      </c>
      <c r="B104" s="26" t="s">
        <v>11</v>
      </c>
      <c r="C104" s="164" t="s">
        <v>130</v>
      </c>
      <c r="D104" s="26">
        <v>46</v>
      </c>
      <c r="E104" s="26">
        <v>46</v>
      </c>
      <c r="F104" s="26">
        <f t="shared" si="0"/>
        <v>0</v>
      </c>
      <c r="G104" s="26" t="s">
        <v>33</v>
      </c>
    </row>
    <row r="105" spans="1:8" x14ac:dyDescent="0.3">
      <c r="A105" s="26">
        <v>15</v>
      </c>
      <c r="B105" s="26" t="s">
        <v>11</v>
      </c>
      <c r="C105" s="164" t="s">
        <v>166</v>
      </c>
      <c r="D105" s="26">
        <v>32</v>
      </c>
      <c r="E105" s="26">
        <v>32</v>
      </c>
      <c r="F105" s="26">
        <f t="shared" si="0"/>
        <v>0</v>
      </c>
      <c r="G105" s="26" t="s">
        <v>32</v>
      </c>
    </row>
    <row r="106" spans="1:8" x14ac:dyDescent="0.3">
      <c r="A106" s="26">
        <v>15</v>
      </c>
      <c r="B106" s="26" t="s">
        <v>11</v>
      </c>
      <c r="C106" s="164" t="s">
        <v>346</v>
      </c>
      <c r="D106" s="26">
        <v>6</v>
      </c>
      <c r="E106" s="26">
        <v>6</v>
      </c>
      <c r="F106" s="26">
        <f t="shared" si="0"/>
        <v>0</v>
      </c>
      <c r="G106" s="26" t="s">
        <v>32</v>
      </c>
    </row>
    <row r="107" spans="1:8" x14ac:dyDescent="0.3">
      <c r="A107" s="26">
        <v>15</v>
      </c>
      <c r="B107" s="26" t="s">
        <v>11</v>
      </c>
      <c r="C107" s="164" t="s">
        <v>164</v>
      </c>
      <c r="D107" s="26">
        <v>2</v>
      </c>
      <c r="E107" s="26">
        <v>2</v>
      </c>
      <c r="F107" s="26">
        <f t="shared" si="0"/>
        <v>0</v>
      </c>
      <c r="G107" s="26" t="s">
        <v>50</v>
      </c>
      <c r="H107" s="2" t="s">
        <v>375</v>
      </c>
    </row>
    <row r="108" spans="1:8" x14ac:dyDescent="0.3">
      <c r="A108" s="28">
        <v>15</v>
      </c>
      <c r="B108" s="28" t="s">
        <v>11</v>
      </c>
      <c r="C108" s="73" t="s">
        <v>171</v>
      </c>
      <c r="D108" s="28">
        <v>18</v>
      </c>
      <c r="E108" s="28">
        <v>18</v>
      </c>
      <c r="F108" s="26">
        <f t="shared" ref="F108:F121" si="4">D108-E108</f>
        <v>0</v>
      </c>
      <c r="G108" s="28" t="s">
        <v>33</v>
      </c>
      <c r="H108" s="2" t="s">
        <v>180</v>
      </c>
    </row>
    <row r="109" spans="1:8" x14ac:dyDescent="0.3">
      <c r="A109" s="28">
        <v>15</v>
      </c>
      <c r="B109" s="28" t="s">
        <v>11</v>
      </c>
      <c r="C109" s="73" t="s">
        <v>65</v>
      </c>
      <c r="D109" s="28">
        <v>10</v>
      </c>
      <c r="E109" s="28"/>
      <c r="F109" s="28">
        <f t="shared" si="4"/>
        <v>10</v>
      </c>
      <c r="G109" s="28" t="s">
        <v>32</v>
      </c>
    </row>
    <row r="110" spans="1:8" x14ac:dyDescent="0.3">
      <c r="A110" s="28">
        <v>15</v>
      </c>
      <c r="B110" s="28" t="s">
        <v>11</v>
      </c>
      <c r="C110" s="73" t="s">
        <v>260</v>
      </c>
      <c r="D110" s="28">
        <v>52</v>
      </c>
      <c r="E110" s="28">
        <v>52</v>
      </c>
      <c r="F110" s="28">
        <f t="shared" si="4"/>
        <v>0</v>
      </c>
      <c r="G110" s="28" t="s">
        <v>33</v>
      </c>
    </row>
    <row r="111" spans="1:8" ht="15" thickBot="1" x14ac:dyDescent="0.35">
      <c r="A111" s="28">
        <v>15</v>
      </c>
      <c r="B111" s="28" t="s">
        <v>11</v>
      </c>
      <c r="C111" s="73" t="s">
        <v>409</v>
      </c>
      <c r="D111" s="28">
        <v>4</v>
      </c>
      <c r="E111" s="28">
        <v>4</v>
      </c>
      <c r="F111" s="28">
        <f t="shared" si="4"/>
        <v>0</v>
      </c>
      <c r="G111" s="28" t="s">
        <v>32</v>
      </c>
      <c r="H111" s="176">
        <v>2020</v>
      </c>
    </row>
    <row r="112" spans="1:8" ht="18.600000000000001" thickBot="1" x14ac:dyDescent="0.35">
      <c r="A112" s="55"/>
      <c r="B112" s="56" t="s">
        <v>59</v>
      </c>
      <c r="C112" s="56"/>
      <c r="D112" s="56"/>
      <c r="E112" s="56"/>
      <c r="F112" s="56"/>
      <c r="G112" s="57"/>
    </row>
    <row r="113" spans="1:8" x14ac:dyDescent="0.3">
      <c r="A113" s="28">
        <v>15</v>
      </c>
      <c r="B113" s="26" t="s">
        <v>59</v>
      </c>
      <c r="C113" s="73" t="s">
        <v>386</v>
      </c>
      <c r="D113" s="28">
        <v>6</v>
      </c>
      <c r="E113" s="26">
        <v>6</v>
      </c>
      <c r="F113" s="28">
        <f t="shared" si="4"/>
        <v>0</v>
      </c>
      <c r="G113" s="26" t="s">
        <v>32</v>
      </c>
    </row>
    <row r="114" spans="1:8" x14ac:dyDescent="0.3">
      <c r="A114" s="28">
        <v>15</v>
      </c>
      <c r="B114" s="26" t="s">
        <v>59</v>
      </c>
      <c r="C114" s="73" t="s">
        <v>80</v>
      </c>
      <c r="D114" s="28">
        <v>26</v>
      </c>
      <c r="E114" s="26">
        <v>26</v>
      </c>
      <c r="F114" s="28">
        <f t="shared" si="4"/>
        <v>0</v>
      </c>
      <c r="G114" s="26" t="s">
        <v>58</v>
      </c>
    </row>
    <row r="115" spans="1:8" ht="15" thickBot="1" x14ac:dyDescent="0.35">
      <c r="A115" s="28">
        <v>15</v>
      </c>
      <c r="B115" s="26" t="s">
        <v>59</v>
      </c>
      <c r="C115" s="73" t="s">
        <v>351</v>
      </c>
      <c r="D115" s="28">
        <v>2</v>
      </c>
      <c r="E115" s="26">
        <v>2</v>
      </c>
      <c r="F115" s="28">
        <f t="shared" si="4"/>
        <v>0</v>
      </c>
      <c r="G115" s="26" t="s">
        <v>58</v>
      </c>
    </row>
    <row r="116" spans="1:8" ht="18.600000000000001" thickBot="1" x14ac:dyDescent="0.35">
      <c r="A116" s="64"/>
      <c r="B116" s="56" t="s">
        <v>27</v>
      </c>
      <c r="C116" s="56"/>
      <c r="D116" s="56"/>
      <c r="E116" s="56"/>
      <c r="F116" s="56"/>
      <c r="G116" s="57"/>
    </row>
    <row r="117" spans="1:8" x14ac:dyDescent="0.3">
      <c r="A117" s="26">
        <v>15</v>
      </c>
      <c r="B117" s="24" t="s">
        <v>68</v>
      </c>
      <c r="C117" s="180" t="s">
        <v>119</v>
      </c>
      <c r="D117" s="22">
        <v>2</v>
      </c>
      <c r="E117" s="22">
        <v>2</v>
      </c>
      <c r="F117" s="22">
        <f t="shared" si="4"/>
        <v>0</v>
      </c>
      <c r="G117" s="22" t="s">
        <v>32</v>
      </c>
    </row>
    <row r="118" spans="1:8" x14ac:dyDescent="0.3">
      <c r="A118" s="26">
        <v>15</v>
      </c>
      <c r="B118" s="24" t="s">
        <v>68</v>
      </c>
      <c r="C118" s="73" t="s">
        <v>275</v>
      </c>
      <c r="D118" s="26">
        <v>2</v>
      </c>
      <c r="E118" s="26">
        <v>2</v>
      </c>
      <c r="F118" s="26">
        <f t="shared" si="4"/>
        <v>0</v>
      </c>
      <c r="G118" s="26" t="s">
        <v>32</v>
      </c>
      <c r="H118" s="176">
        <v>2013</v>
      </c>
    </row>
    <row r="119" spans="1:8" x14ac:dyDescent="0.3">
      <c r="A119" s="26">
        <v>15</v>
      </c>
      <c r="B119" s="24" t="s">
        <v>68</v>
      </c>
      <c r="C119" s="162" t="s">
        <v>260</v>
      </c>
      <c r="D119" s="28">
        <v>6</v>
      </c>
      <c r="E119" s="26">
        <v>6</v>
      </c>
      <c r="F119" s="28">
        <f t="shared" si="4"/>
        <v>0</v>
      </c>
      <c r="G119" s="24" t="s">
        <v>33</v>
      </c>
    </row>
    <row r="120" spans="1:8" x14ac:dyDescent="0.3">
      <c r="A120" s="26">
        <v>15</v>
      </c>
      <c r="B120" s="26" t="s">
        <v>68</v>
      </c>
      <c r="C120" s="73" t="s">
        <v>185</v>
      </c>
      <c r="D120" s="28">
        <v>4</v>
      </c>
      <c r="E120" s="28">
        <v>4</v>
      </c>
      <c r="F120" s="28">
        <f t="shared" si="4"/>
        <v>0</v>
      </c>
      <c r="G120" s="26" t="s">
        <v>58</v>
      </c>
    </row>
    <row r="121" spans="1:8" x14ac:dyDescent="0.3">
      <c r="A121" s="26">
        <v>15</v>
      </c>
      <c r="B121" s="26" t="s">
        <v>407</v>
      </c>
      <c r="C121" s="73" t="s">
        <v>54</v>
      </c>
      <c r="D121" s="26">
        <v>4</v>
      </c>
      <c r="E121" s="26">
        <v>4</v>
      </c>
      <c r="F121" s="28">
        <f t="shared" si="4"/>
        <v>0</v>
      </c>
      <c r="G121" s="26" t="s">
        <v>32</v>
      </c>
      <c r="H121" s="176">
        <v>2013</v>
      </c>
    </row>
    <row r="122" spans="1:8" x14ac:dyDescent="0.3">
      <c r="A122" s="3"/>
      <c r="B122" s="3"/>
      <c r="C122" s="31" t="s">
        <v>42</v>
      </c>
      <c r="D122" s="162">
        <f>SUM(D3:D121)</f>
        <v>1970</v>
      </c>
      <c r="E122" s="162">
        <f>SUM(E3:E121)</f>
        <v>1814</v>
      </c>
      <c r="F122" s="157">
        <f>SUM(F3:F120)</f>
        <v>156</v>
      </c>
      <c r="G122" s="3"/>
    </row>
    <row r="131" spans="7:7" x14ac:dyDescent="0.3">
      <c r="G131" s="4"/>
    </row>
  </sheetData>
  <sortState xmlns:xlrd2="http://schemas.microsoft.com/office/spreadsheetml/2017/richdata2" ref="A2:G42">
    <sortCondition ref="B2"/>
  </sortState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3"/>
  <sheetViews>
    <sheetView topLeftCell="A52" zoomScale="130" zoomScaleNormal="130" zoomScaleSheetLayoutView="110" workbookViewId="0">
      <selection activeCell="A27" sqref="A27:XFD27"/>
    </sheetView>
  </sheetViews>
  <sheetFormatPr defaultColWidth="9.109375" defaultRowHeight="14.4" x14ac:dyDescent="0.3"/>
  <cols>
    <col min="1" max="1" width="5.44140625" style="5" customWidth="1"/>
    <col min="2" max="2" width="11" style="2" customWidth="1"/>
    <col min="3" max="3" width="37.33203125" style="2" customWidth="1"/>
    <col min="4" max="5" width="6" style="2" customWidth="1"/>
    <col min="6" max="6" width="5.88671875" style="2" customWidth="1"/>
    <col min="7" max="7" width="10.88671875" style="2" customWidth="1"/>
    <col min="8" max="16384" width="9.109375" style="2"/>
  </cols>
  <sheetData>
    <row r="1" spans="1:8" ht="21.6" thickBot="1" x14ac:dyDescent="0.3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</row>
    <row r="2" spans="1:8" ht="18.600000000000001" thickBot="1" x14ac:dyDescent="0.4">
      <c r="A2" s="18"/>
      <c r="B2" s="19" t="s">
        <v>8</v>
      </c>
      <c r="C2" s="19"/>
      <c r="D2" s="20"/>
      <c r="E2" s="20"/>
      <c r="F2" s="20"/>
      <c r="G2" s="21"/>
    </row>
    <row r="3" spans="1:8" x14ac:dyDescent="0.3">
      <c r="A3" s="22">
        <v>16</v>
      </c>
      <c r="B3" s="23" t="s">
        <v>8</v>
      </c>
      <c r="C3" s="158" t="s">
        <v>81</v>
      </c>
      <c r="D3" s="22">
        <v>96</v>
      </c>
      <c r="E3" s="22">
        <v>96</v>
      </c>
      <c r="F3" s="22">
        <f>D3-E3</f>
        <v>0</v>
      </c>
      <c r="G3" s="22" t="s">
        <v>33</v>
      </c>
    </row>
    <row r="4" spans="1:8" x14ac:dyDescent="0.3">
      <c r="A4" s="26">
        <v>16</v>
      </c>
      <c r="B4" s="27" t="s">
        <v>8</v>
      </c>
      <c r="C4" s="159" t="s">
        <v>165</v>
      </c>
      <c r="D4" s="26">
        <v>4</v>
      </c>
      <c r="E4" s="26">
        <v>4</v>
      </c>
      <c r="F4" s="26">
        <f>D4-E4</f>
        <v>0</v>
      </c>
      <c r="G4" s="26" t="s">
        <v>32</v>
      </c>
    </row>
    <row r="5" spans="1:8" x14ac:dyDescent="0.3">
      <c r="A5" s="26">
        <v>16</v>
      </c>
      <c r="B5" s="27" t="s">
        <v>127</v>
      </c>
      <c r="C5" s="159" t="s">
        <v>86</v>
      </c>
      <c r="D5" s="26">
        <v>6</v>
      </c>
      <c r="E5" s="26">
        <v>6</v>
      </c>
      <c r="F5" s="26">
        <f>D5-E5</f>
        <v>0</v>
      </c>
      <c r="G5" s="26" t="s">
        <v>32</v>
      </c>
    </row>
    <row r="6" spans="1:8" ht="18" x14ac:dyDescent="0.35">
      <c r="A6" s="74"/>
      <c r="B6" s="75" t="s">
        <v>9</v>
      </c>
      <c r="C6" s="75"/>
      <c r="D6" s="74"/>
      <c r="E6" s="74"/>
      <c r="F6" s="74"/>
      <c r="G6" s="74"/>
    </row>
    <row r="7" spans="1:8" x14ac:dyDescent="0.3">
      <c r="A7" s="24">
        <v>16</v>
      </c>
      <c r="B7" s="25" t="s">
        <v>9</v>
      </c>
      <c r="C7" s="160" t="s">
        <v>512</v>
      </c>
      <c r="D7" s="24">
        <v>8</v>
      </c>
      <c r="E7" s="24">
        <v>4</v>
      </c>
      <c r="F7" s="24">
        <f t="shared" ref="F7:F76" si="0">D7-E7</f>
        <v>4</v>
      </c>
      <c r="G7" s="24" t="s">
        <v>50</v>
      </c>
    </row>
    <row r="8" spans="1:8" x14ac:dyDescent="0.3">
      <c r="A8" s="26">
        <v>16</v>
      </c>
      <c r="B8" s="27" t="s">
        <v>9</v>
      </c>
      <c r="C8" s="159" t="s">
        <v>480</v>
      </c>
      <c r="D8" s="26">
        <v>20</v>
      </c>
      <c r="E8" s="26">
        <v>20</v>
      </c>
      <c r="F8" s="24">
        <f t="shared" si="0"/>
        <v>0</v>
      </c>
      <c r="G8" s="26" t="s">
        <v>32</v>
      </c>
      <c r="H8" s="176">
        <v>2022</v>
      </c>
    </row>
    <row r="9" spans="1:8" x14ac:dyDescent="0.3">
      <c r="A9" s="26">
        <v>16</v>
      </c>
      <c r="B9" s="27" t="s">
        <v>9</v>
      </c>
      <c r="C9" s="159" t="s">
        <v>369</v>
      </c>
      <c r="D9" s="26">
        <v>8</v>
      </c>
      <c r="E9" s="26">
        <v>8</v>
      </c>
      <c r="F9" s="24">
        <f t="shared" si="0"/>
        <v>0</v>
      </c>
      <c r="G9" s="26" t="s">
        <v>33</v>
      </c>
      <c r="H9" s="176">
        <v>2018</v>
      </c>
    </row>
    <row r="10" spans="1:8" x14ac:dyDescent="0.3">
      <c r="A10" s="26">
        <v>16</v>
      </c>
      <c r="B10" s="27" t="s">
        <v>9</v>
      </c>
      <c r="C10" s="159" t="s">
        <v>341</v>
      </c>
      <c r="D10" s="26">
        <v>4</v>
      </c>
      <c r="E10" s="26"/>
      <c r="F10" s="24">
        <f t="shared" si="0"/>
        <v>4</v>
      </c>
      <c r="G10" s="26" t="s">
        <v>32</v>
      </c>
    </row>
    <row r="11" spans="1:8" ht="18.600000000000001" thickBot="1" x14ac:dyDescent="0.4">
      <c r="A11" s="166"/>
      <c r="B11" s="167" t="s">
        <v>28</v>
      </c>
      <c r="C11" s="168"/>
      <c r="D11" s="168"/>
      <c r="E11" s="168"/>
      <c r="F11" s="168"/>
      <c r="G11" s="169"/>
    </row>
    <row r="12" spans="1:8" x14ac:dyDescent="0.3">
      <c r="A12" s="24">
        <v>16</v>
      </c>
      <c r="B12" s="25" t="s">
        <v>28</v>
      </c>
      <c r="C12" s="160" t="s">
        <v>76</v>
      </c>
      <c r="D12" s="24">
        <v>12</v>
      </c>
      <c r="E12" s="24">
        <v>12</v>
      </c>
      <c r="F12" s="24">
        <f t="shared" si="0"/>
        <v>0</v>
      </c>
      <c r="G12" s="24" t="s">
        <v>32</v>
      </c>
    </row>
    <row r="13" spans="1:8" x14ac:dyDescent="0.3">
      <c r="A13" s="26">
        <v>16</v>
      </c>
      <c r="B13" s="27" t="s">
        <v>365</v>
      </c>
      <c r="C13" s="159" t="s">
        <v>184</v>
      </c>
      <c r="D13" s="26">
        <v>6</v>
      </c>
      <c r="E13" s="26">
        <v>6</v>
      </c>
      <c r="F13" s="26">
        <f t="shared" si="0"/>
        <v>0</v>
      </c>
      <c r="G13" s="26" t="s">
        <v>50</v>
      </c>
    </row>
    <row r="14" spans="1:8" ht="15" thickBot="1" x14ac:dyDescent="0.35">
      <c r="A14" s="26">
        <v>16</v>
      </c>
      <c r="B14" s="27" t="s">
        <v>365</v>
      </c>
      <c r="C14" s="159" t="s">
        <v>326</v>
      </c>
      <c r="D14" s="26">
        <v>2</v>
      </c>
      <c r="E14" s="26">
        <v>2</v>
      </c>
      <c r="F14" s="26">
        <f t="shared" si="0"/>
        <v>0</v>
      </c>
      <c r="G14" s="26" t="s">
        <v>50</v>
      </c>
    </row>
    <row r="15" spans="1:8" ht="18.600000000000001" thickBot="1" x14ac:dyDescent="0.4">
      <c r="A15" s="18"/>
      <c r="B15" s="19" t="s">
        <v>71</v>
      </c>
      <c r="C15" s="19"/>
      <c r="D15" s="20"/>
      <c r="E15" s="20"/>
      <c r="F15" s="20"/>
      <c r="G15" s="21"/>
    </row>
    <row r="16" spans="1:8" x14ac:dyDescent="0.3">
      <c r="A16" s="24">
        <v>16</v>
      </c>
      <c r="B16" s="25" t="s">
        <v>60</v>
      </c>
      <c r="C16" s="160" t="s">
        <v>61</v>
      </c>
      <c r="D16" s="24">
        <v>8</v>
      </c>
      <c r="E16" s="24">
        <v>8</v>
      </c>
      <c r="F16" s="24">
        <f t="shared" si="0"/>
        <v>0</v>
      </c>
      <c r="G16" s="24" t="s">
        <v>33</v>
      </c>
    </row>
    <row r="17" spans="1:8" x14ac:dyDescent="0.3">
      <c r="A17" s="26">
        <v>16</v>
      </c>
      <c r="B17" s="27" t="s">
        <v>60</v>
      </c>
      <c r="C17" s="159" t="s">
        <v>323</v>
      </c>
      <c r="D17" s="26">
        <v>4</v>
      </c>
      <c r="E17" s="26">
        <v>4</v>
      </c>
      <c r="F17" s="26">
        <f t="shared" si="0"/>
        <v>0</v>
      </c>
      <c r="G17" s="26" t="s">
        <v>32</v>
      </c>
    </row>
    <row r="18" spans="1:8" ht="15" thickBot="1" x14ac:dyDescent="0.35">
      <c r="A18" s="28">
        <v>16</v>
      </c>
      <c r="B18" s="29" t="s">
        <v>364</v>
      </c>
      <c r="C18" s="161" t="s">
        <v>93</v>
      </c>
      <c r="D18" s="28">
        <v>2</v>
      </c>
      <c r="E18" s="28">
        <v>2</v>
      </c>
      <c r="F18" s="28">
        <f t="shared" si="0"/>
        <v>0</v>
      </c>
      <c r="G18" s="28" t="s">
        <v>50</v>
      </c>
    </row>
    <row r="19" spans="1:8" ht="18.600000000000001" thickBot="1" x14ac:dyDescent="0.4">
      <c r="A19" s="18"/>
      <c r="B19" s="19" t="s">
        <v>13</v>
      </c>
      <c r="C19" s="19"/>
      <c r="D19" s="20"/>
      <c r="E19" s="20"/>
      <c r="F19" s="20"/>
      <c r="G19" s="21"/>
    </row>
    <row r="20" spans="1:8" x14ac:dyDescent="0.3">
      <c r="A20" s="26">
        <v>16</v>
      </c>
      <c r="B20" s="27" t="s">
        <v>13</v>
      </c>
      <c r="C20" s="159" t="s">
        <v>116</v>
      </c>
      <c r="D20" s="26">
        <v>34</v>
      </c>
      <c r="E20" s="26">
        <v>30</v>
      </c>
      <c r="F20" s="26">
        <f t="shared" ref="F20:F21" si="1">D20-E20</f>
        <v>4</v>
      </c>
      <c r="G20" s="26" t="s">
        <v>32</v>
      </c>
    </row>
    <row r="21" spans="1:8" x14ac:dyDescent="0.3">
      <c r="A21" s="26">
        <v>16</v>
      </c>
      <c r="B21" s="27" t="s">
        <v>13</v>
      </c>
      <c r="C21" s="159" t="s">
        <v>207</v>
      </c>
      <c r="D21" s="26">
        <v>16</v>
      </c>
      <c r="E21" s="26">
        <v>8</v>
      </c>
      <c r="F21" s="26">
        <f t="shared" si="1"/>
        <v>8</v>
      </c>
      <c r="G21" s="26" t="s">
        <v>33</v>
      </c>
    </row>
    <row r="22" spans="1:8" x14ac:dyDescent="0.3">
      <c r="A22" s="26">
        <v>16</v>
      </c>
      <c r="B22" s="27" t="s">
        <v>13</v>
      </c>
      <c r="C22" s="159" t="s">
        <v>230</v>
      </c>
      <c r="D22" s="26">
        <v>12</v>
      </c>
      <c r="E22" s="26">
        <v>4</v>
      </c>
      <c r="F22" s="26">
        <f t="shared" si="0"/>
        <v>8</v>
      </c>
      <c r="G22" s="26" t="s">
        <v>33</v>
      </c>
    </row>
    <row r="23" spans="1:8" x14ac:dyDescent="0.3">
      <c r="A23" s="26">
        <v>16</v>
      </c>
      <c r="B23" s="27" t="s">
        <v>13</v>
      </c>
      <c r="C23" s="159" t="s">
        <v>229</v>
      </c>
      <c r="D23" s="26">
        <v>68</v>
      </c>
      <c r="E23" s="26">
        <v>44</v>
      </c>
      <c r="F23" s="26">
        <f t="shared" si="0"/>
        <v>24</v>
      </c>
      <c r="G23" s="26" t="s">
        <v>33</v>
      </c>
    </row>
    <row r="24" spans="1:8" x14ac:dyDescent="0.3">
      <c r="A24" s="26">
        <v>16</v>
      </c>
      <c r="B24" s="27" t="s">
        <v>13</v>
      </c>
      <c r="C24" s="159" t="s">
        <v>208</v>
      </c>
      <c r="D24" s="26">
        <v>48</v>
      </c>
      <c r="E24" s="26">
        <v>40</v>
      </c>
      <c r="F24" s="26">
        <f t="shared" si="0"/>
        <v>8</v>
      </c>
      <c r="G24" s="26" t="s">
        <v>33</v>
      </c>
    </row>
    <row r="25" spans="1:8" x14ac:dyDescent="0.3">
      <c r="A25" s="26">
        <v>16</v>
      </c>
      <c r="B25" s="27" t="s">
        <v>13</v>
      </c>
      <c r="C25" s="159" t="s">
        <v>267</v>
      </c>
      <c r="D25" s="26">
        <v>14</v>
      </c>
      <c r="E25" s="26">
        <v>6</v>
      </c>
      <c r="F25" s="26">
        <f t="shared" si="0"/>
        <v>8</v>
      </c>
      <c r="G25" s="26" t="s">
        <v>33</v>
      </c>
    </row>
    <row r="26" spans="1:8" x14ac:dyDescent="0.3">
      <c r="A26" s="26">
        <v>16</v>
      </c>
      <c r="B26" s="27" t="s">
        <v>13</v>
      </c>
      <c r="C26" s="102" t="s">
        <v>269</v>
      </c>
      <c r="D26" s="26">
        <v>10</v>
      </c>
      <c r="E26" s="26">
        <v>10</v>
      </c>
      <c r="F26" s="26">
        <f t="shared" si="0"/>
        <v>0</v>
      </c>
      <c r="G26" s="26" t="s">
        <v>32</v>
      </c>
    </row>
    <row r="27" spans="1:8" x14ac:dyDescent="0.3">
      <c r="A27" s="26">
        <v>16</v>
      </c>
      <c r="B27" s="27" t="s">
        <v>13</v>
      </c>
      <c r="C27" s="102" t="s">
        <v>412</v>
      </c>
      <c r="D27" s="26">
        <v>4</v>
      </c>
      <c r="E27" s="26">
        <v>4</v>
      </c>
      <c r="F27" s="26">
        <f t="shared" si="0"/>
        <v>0</v>
      </c>
      <c r="G27" s="26" t="s">
        <v>32</v>
      </c>
      <c r="H27" s="176">
        <v>2021</v>
      </c>
    </row>
    <row r="28" spans="1:8" x14ac:dyDescent="0.3">
      <c r="A28" s="26">
        <v>16</v>
      </c>
      <c r="B28" s="27" t="s">
        <v>13</v>
      </c>
      <c r="C28" s="159" t="s">
        <v>171</v>
      </c>
      <c r="D28" s="26">
        <v>8</v>
      </c>
      <c r="E28" s="26">
        <v>6</v>
      </c>
      <c r="F28" s="26">
        <f t="shared" si="0"/>
        <v>2</v>
      </c>
      <c r="G28" s="26" t="s">
        <v>33</v>
      </c>
    </row>
    <row r="29" spans="1:8" x14ac:dyDescent="0.3">
      <c r="A29" s="26">
        <v>16</v>
      </c>
      <c r="B29" s="27" t="s">
        <v>13</v>
      </c>
      <c r="C29" s="159" t="s">
        <v>251</v>
      </c>
      <c r="D29" s="26">
        <v>4</v>
      </c>
      <c r="E29" s="26">
        <v>8</v>
      </c>
      <c r="F29" s="26">
        <v>4</v>
      </c>
      <c r="G29" s="26" t="s">
        <v>253</v>
      </c>
    </row>
    <row r="30" spans="1:8" x14ac:dyDescent="0.3">
      <c r="A30" s="26">
        <v>16</v>
      </c>
      <c r="B30" s="27" t="s">
        <v>13</v>
      </c>
      <c r="C30" s="159" t="s">
        <v>260</v>
      </c>
      <c r="D30" s="26">
        <v>52</v>
      </c>
      <c r="E30" s="26">
        <v>32</v>
      </c>
      <c r="F30" s="26">
        <f t="shared" si="0"/>
        <v>20</v>
      </c>
      <c r="G30" s="26" t="s">
        <v>33</v>
      </c>
    </row>
    <row r="31" spans="1:8" x14ac:dyDescent="0.3">
      <c r="A31" s="26">
        <v>16</v>
      </c>
      <c r="B31" s="27" t="s">
        <v>13</v>
      </c>
      <c r="C31" s="159" t="s">
        <v>296</v>
      </c>
      <c r="D31" s="26">
        <v>4</v>
      </c>
      <c r="E31" s="26"/>
      <c r="F31" s="26">
        <f t="shared" si="0"/>
        <v>4</v>
      </c>
      <c r="G31" s="26" t="s">
        <v>33</v>
      </c>
      <c r="H31" s="176">
        <v>2020</v>
      </c>
    </row>
    <row r="32" spans="1:8" x14ac:dyDescent="0.3">
      <c r="A32" s="26">
        <v>16</v>
      </c>
      <c r="B32" s="27" t="s">
        <v>13</v>
      </c>
      <c r="C32" s="159" t="s">
        <v>65</v>
      </c>
      <c r="D32" s="26">
        <v>16</v>
      </c>
      <c r="E32" s="26">
        <v>14</v>
      </c>
      <c r="F32" s="26">
        <f t="shared" si="0"/>
        <v>2</v>
      </c>
      <c r="G32" s="26" t="s">
        <v>32</v>
      </c>
    </row>
    <row r="33" spans="1:8" x14ac:dyDescent="0.3">
      <c r="A33" s="26">
        <v>16</v>
      </c>
      <c r="B33" s="27" t="s">
        <v>13</v>
      </c>
      <c r="C33" s="159" t="s">
        <v>70</v>
      </c>
      <c r="D33" s="26">
        <v>6</v>
      </c>
      <c r="E33" s="26">
        <v>2</v>
      </c>
      <c r="F33" s="26">
        <f t="shared" si="0"/>
        <v>4</v>
      </c>
      <c r="G33" s="26" t="s">
        <v>33</v>
      </c>
    </row>
    <row r="34" spans="1:8" x14ac:dyDescent="0.3">
      <c r="A34" s="26">
        <v>16</v>
      </c>
      <c r="B34" s="27" t="s">
        <v>13</v>
      </c>
      <c r="C34" s="159" t="s">
        <v>76</v>
      </c>
      <c r="D34" s="26">
        <v>108</v>
      </c>
      <c r="E34" s="26">
        <v>104</v>
      </c>
      <c r="F34" s="26">
        <f t="shared" si="0"/>
        <v>4</v>
      </c>
      <c r="G34" s="26" t="s">
        <v>32</v>
      </c>
    </row>
    <row r="35" spans="1:8" x14ac:dyDescent="0.3">
      <c r="A35" s="26">
        <v>16</v>
      </c>
      <c r="B35" s="27" t="s">
        <v>13</v>
      </c>
      <c r="C35" s="159" t="s">
        <v>77</v>
      </c>
      <c r="D35" s="26">
        <v>84</v>
      </c>
      <c r="E35" s="26">
        <v>84</v>
      </c>
      <c r="F35" s="26">
        <f t="shared" si="0"/>
        <v>0</v>
      </c>
      <c r="G35" s="26" t="s">
        <v>32</v>
      </c>
      <c r="H35" s="176">
        <v>2019</v>
      </c>
    </row>
    <row r="36" spans="1:8" x14ac:dyDescent="0.3">
      <c r="A36" s="26">
        <v>16</v>
      </c>
      <c r="B36" s="27" t="s">
        <v>13</v>
      </c>
      <c r="C36" s="159" t="s">
        <v>109</v>
      </c>
      <c r="D36" s="26">
        <v>14</v>
      </c>
      <c r="E36" s="26">
        <v>14</v>
      </c>
      <c r="F36" s="26">
        <f t="shared" si="0"/>
        <v>0</v>
      </c>
      <c r="G36" s="26" t="s">
        <v>33</v>
      </c>
    </row>
    <row r="37" spans="1:8" x14ac:dyDescent="0.3">
      <c r="A37" s="26">
        <v>16</v>
      </c>
      <c r="B37" s="27" t="s">
        <v>13</v>
      </c>
      <c r="C37" s="159" t="s">
        <v>124</v>
      </c>
      <c r="D37" s="26">
        <v>8</v>
      </c>
      <c r="E37" s="26">
        <v>4</v>
      </c>
      <c r="F37" s="26">
        <f t="shared" si="0"/>
        <v>4</v>
      </c>
      <c r="G37" s="26" t="s">
        <v>32</v>
      </c>
      <c r="H37" s="176">
        <v>2019</v>
      </c>
    </row>
    <row r="38" spans="1:8" x14ac:dyDescent="0.3">
      <c r="A38" s="26">
        <v>16</v>
      </c>
      <c r="B38" s="27" t="s">
        <v>13</v>
      </c>
      <c r="C38" s="159" t="s">
        <v>298</v>
      </c>
      <c r="D38" s="26">
        <v>16</v>
      </c>
      <c r="E38" s="26">
        <v>16</v>
      </c>
      <c r="F38" s="26">
        <f t="shared" si="0"/>
        <v>0</v>
      </c>
      <c r="G38" s="26" t="s">
        <v>32</v>
      </c>
      <c r="H38" s="176">
        <v>2020</v>
      </c>
    </row>
    <row r="39" spans="1:8" x14ac:dyDescent="0.3">
      <c r="A39" s="26">
        <v>16</v>
      </c>
      <c r="B39" s="27" t="s">
        <v>13</v>
      </c>
      <c r="C39" s="159" t="s">
        <v>95</v>
      </c>
      <c r="D39" s="26">
        <v>108</v>
      </c>
      <c r="E39" s="26">
        <v>102</v>
      </c>
      <c r="F39" s="26">
        <f t="shared" si="0"/>
        <v>6</v>
      </c>
      <c r="G39" s="26" t="s">
        <v>32</v>
      </c>
      <c r="H39" s="2" t="s">
        <v>273</v>
      </c>
    </row>
    <row r="40" spans="1:8" x14ac:dyDescent="0.3">
      <c r="A40" s="26">
        <v>16</v>
      </c>
      <c r="B40" s="27" t="s">
        <v>13</v>
      </c>
      <c r="C40" s="159" t="s">
        <v>291</v>
      </c>
      <c r="D40" s="26">
        <v>24</v>
      </c>
      <c r="E40" s="26">
        <v>20</v>
      </c>
      <c r="F40" s="26">
        <f t="shared" si="0"/>
        <v>4</v>
      </c>
      <c r="G40" s="26" t="s">
        <v>33</v>
      </c>
    </row>
    <row r="41" spans="1:8" x14ac:dyDescent="0.3">
      <c r="A41" s="26">
        <v>16</v>
      </c>
      <c r="B41" s="27" t="s">
        <v>13</v>
      </c>
      <c r="C41" s="159" t="s">
        <v>363</v>
      </c>
      <c r="D41" s="26">
        <v>32</v>
      </c>
      <c r="E41" s="26">
        <v>26</v>
      </c>
      <c r="F41" s="26">
        <f t="shared" si="0"/>
        <v>6</v>
      </c>
      <c r="G41" s="26" t="s">
        <v>33</v>
      </c>
    </row>
    <row r="42" spans="1:8" x14ac:dyDescent="0.3">
      <c r="A42" s="26">
        <v>16</v>
      </c>
      <c r="B42" s="27" t="s">
        <v>13</v>
      </c>
      <c r="C42" s="159" t="s">
        <v>419</v>
      </c>
      <c r="D42" s="26">
        <v>4</v>
      </c>
      <c r="E42" s="26">
        <v>4</v>
      </c>
      <c r="F42" s="26">
        <f t="shared" si="0"/>
        <v>0</v>
      </c>
      <c r="G42" s="26" t="s">
        <v>32</v>
      </c>
    </row>
    <row r="43" spans="1:8" x14ac:dyDescent="0.3">
      <c r="A43" s="26">
        <v>16</v>
      </c>
      <c r="B43" s="27" t="s">
        <v>13</v>
      </c>
      <c r="C43" s="159" t="s">
        <v>40</v>
      </c>
      <c r="D43" s="26">
        <v>60</v>
      </c>
      <c r="E43" s="26">
        <v>60</v>
      </c>
      <c r="F43" s="26">
        <f t="shared" si="0"/>
        <v>0</v>
      </c>
      <c r="G43" s="26" t="s">
        <v>32</v>
      </c>
      <c r="H43" s="176"/>
    </row>
    <row r="44" spans="1:8" x14ac:dyDescent="0.3">
      <c r="A44" s="26">
        <v>16</v>
      </c>
      <c r="B44" s="27" t="s">
        <v>13</v>
      </c>
      <c r="C44" s="159" t="s">
        <v>277</v>
      </c>
      <c r="D44" s="26">
        <v>42</v>
      </c>
      <c r="E44" s="26">
        <v>36</v>
      </c>
      <c r="F44" s="26">
        <f t="shared" si="0"/>
        <v>6</v>
      </c>
      <c r="G44" s="26" t="s">
        <v>33</v>
      </c>
    </row>
    <row r="45" spans="1:8" x14ac:dyDescent="0.3">
      <c r="A45" s="26">
        <v>16</v>
      </c>
      <c r="B45" s="27" t="s">
        <v>13</v>
      </c>
      <c r="C45" s="159" t="s">
        <v>256</v>
      </c>
      <c r="D45" s="26">
        <v>12</v>
      </c>
      <c r="E45" s="26">
        <v>4</v>
      </c>
      <c r="F45" s="26">
        <f t="shared" si="0"/>
        <v>8</v>
      </c>
      <c r="G45" s="26" t="s">
        <v>33</v>
      </c>
    </row>
    <row r="46" spans="1:8" x14ac:dyDescent="0.3">
      <c r="A46" s="26">
        <v>16</v>
      </c>
      <c r="B46" s="27" t="s">
        <v>13</v>
      </c>
      <c r="C46" s="159" t="s">
        <v>220</v>
      </c>
      <c r="D46" s="26">
        <v>8</v>
      </c>
      <c r="E46" s="26">
        <v>8</v>
      </c>
      <c r="F46" s="26">
        <f t="shared" si="0"/>
        <v>0</v>
      </c>
      <c r="G46" s="26" t="s">
        <v>33</v>
      </c>
    </row>
    <row r="47" spans="1:8" x14ac:dyDescent="0.3">
      <c r="A47" s="26">
        <v>16</v>
      </c>
      <c r="B47" s="27" t="s">
        <v>13</v>
      </c>
      <c r="C47" s="159" t="s">
        <v>246</v>
      </c>
      <c r="D47" s="26">
        <v>16</v>
      </c>
      <c r="E47" s="26">
        <v>12</v>
      </c>
      <c r="F47" s="26">
        <f t="shared" si="0"/>
        <v>4</v>
      </c>
      <c r="G47" s="26" t="s">
        <v>32</v>
      </c>
    </row>
    <row r="48" spans="1:8" x14ac:dyDescent="0.3">
      <c r="A48" s="26">
        <v>16</v>
      </c>
      <c r="B48" s="27" t="s">
        <v>13</v>
      </c>
      <c r="C48" s="102" t="s">
        <v>330</v>
      </c>
      <c r="D48" s="26">
        <v>14</v>
      </c>
      <c r="E48" s="26">
        <v>10</v>
      </c>
      <c r="F48" s="26">
        <f t="shared" si="0"/>
        <v>4</v>
      </c>
      <c r="G48" s="26" t="s">
        <v>33</v>
      </c>
    </row>
    <row r="49" spans="1:8" x14ac:dyDescent="0.3">
      <c r="A49" s="26">
        <v>16</v>
      </c>
      <c r="B49" s="27" t="s">
        <v>13</v>
      </c>
      <c r="C49" s="102" t="s">
        <v>85</v>
      </c>
      <c r="D49" s="26">
        <v>32</v>
      </c>
      <c r="E49" s="26">
        <v>28</v>
      </c>
      <c r="F49" s="26">
        <f t="shared" si="0"/>
        <v>4</v>
      </c>
      <c r="G49" s="26" t="s">
        <v>32</v>
      </c>
      <c r="H49" s="176">
        <v>2013</v>
      </c>
    </row>
    <row r="50" spans="1:8" x14ac:dyDescent="0.3">
      <c r="A50" s="26">
        <v>16</v>
      </c>
      <c r="B50" s="27" t="s">
        <v>13</v>
      </c>
      <c r="C50" s="102" t="s">
        <v>404</v>
      </c>
      <c r="D50" s="26">
        <v>4</v>
      </c>
      <c r="E50" s="26"/>
      <c r="F50" s="26">
        <f t="shared" si="0"/>
        <v>4</v>
      </c>
      <c r="G50" s="26" t="s">
        <v>32</v>
      </c>
      <c r="H50" s="176">
        <v>2018</v>
      </c>
    </row>
    <row r="51" spans="1:8" x14ac:dyDescent="0.3">
      <c r="A51" s="26">
        <v>16</v>
      </c>
      <c r="B51" s="27" t="s">
        <v>13</v>
      </c>
      <c r="C51" s="159" t="s">
        <v>411</v>
      </c>
      <c r="D51" s="26">
        <v>16</v>
      </c>
      <c r="E51" s="26">
        <v>12</v>
      </c>
      <c r="F51" s="26">
        <f t="shared" si="0"/>
        <v>4</v>
      </c>
      <c r="G51" s="26" t="s">
        <v>32</v>
      </c>
      <c r="H51" s="176">
        <v>2014</v>
      </c>
    </row>
    <row r="52" spans="1:8" x14ac:dyDescent="0.3">
      <c r="A52" s="26">
        <v>16</v>
      </c>
      <c r="B52" s="27" t="s">
        <v>13</v>
      </c>
      <c r="C52" s="102" t="s">
        <v>130</v>
      </c>
      <c r="D52" s="26">
        <v>56</v>
      </c>
      <c r="E52" s="26">
        <v>52</v>
      </c>
      <c r="F52" s="26">
        <f t="shared" si="0"/>
        <v>4</v>
      </c>
      <c r="G52" s="26" t="s">
        <v>33</v>
      </c>
    </row>
    <row r="53" spans="1:8" x14ac:dyDescent="0.3">
      <c r="A53" s="26">
        <v>16</v>
      </c>
      <c r="B53" s="27" t="s">
        <v>13</v>
      </c>
      <c r="C53" s="102" t="s">
        <v>133</v>
      </c>
      <c r="D53" s="26">
        <v>58</v>
      </c>
      <c r="E53" s="26">
        <v>58</v>
      </c>
      <c r="F53" s="26">
        <f t="shared" si="0"/>
        <v>0</v>
      </c>
      <c r="G53" s="26" t="s">
        <v>33</v>
      </c>
    </row>
    <row r="54" spans="1:8" x14ac:dyDescent="0.3">
      <c r="A54" s="26">
        <v>16</v>
      </c>
      <c r="B54" s="27" t="s">
        <v>13</v>
      </c>
      <c r="C54" s="102" t="s">
        <v>132</v>
      </c>
      <c r="D54" s="26">
        <v>20</v>
      </c>
      <c r="E54" s="26">
        <v>4</v>
      </c>
      <c r="F54" s="26">
        <f t="shared" si="0"/>
        <v>16</v>
      </c>
      <c r="G54" s="26" t="s">
        <v>33</v>
      </c>
    </row>
    <row r="55" spans="1:8" x14ac:dyDescent="0.3">
      <c r="A55" s="26">
        <v>16</v>
      </c>
      <c r="B55" s="27" t="s">
        <v>13</v>
      </c>
      <c r="C55" s="102" t="s">
        <v>344</v>
      </c>
      <c r="D55" s="26">
        <v>6</v>
      </c>
      <c r="E55" s="26">
        <v>4</v>
      </c>
      <c r="F55" s="26">
        <f t="shared" si="0"/>
        <v>2</v>
      </c>
      <c r="G55" s="26" t="s">
        <v>32</v>
      </c>
    </row>
    <row r="56" spans="1:8" x14ac:dyDescent="0.3">
      <c r="A56" s="26">
        <v>16</v>
      </c>
      <c r="B56" s="27" t="s">
        <v>13</v>
      </c>
      <c r="C56" s="102" t="s">
        <v>349</v>
      </c>
      <c r="D56" s="26">
        <v>8</v>
      </c>
      <c r="E56" s="26">
        <v>4</v>
      </c>
      <c r="F56" s="26">
        <f t="shared" si="0"/>
        <v>4</v>
      </c>
      <c r="G56" s="26" t="s">
        <v>32</v>
      </c>
    </row>
    <row r="57" spans="1:8" x14ac:dyDescent="0.3">
      <c r="A57" s="26">
        <v>16</v>
      </c>
      <c r="B57" s="27" t="s">
        <v>13</v>
      </c>
      <c r="C57" s="102" t="s">
        <v>431</v>
      </c>
      <c r="D57" s="26">
        <v>12</v>
      </c>
      <c r="E57" s="26">
        <v>12</v>
      </c>
      <c r="F57" s="26">
        <f t="shared" si="0"/>
        <v>0</v>
      </c>
      <c r="G57" s="26" t="s">
        <v>32</v>
      </c>
    </row>
    <row r="58" spans="1:8" ht="18.600000000000001" thickBot="1" x14ac:dyDescent="0.4">
      <c r="A58" s="166"/>
      <c r="B58" s="167" t="s">
        <v>27</v>
      </c>
      <c r="C58" s="168"/>
      <c r="D58" s="168"/>
      <c r="E58" s="168"/>
      <c r="F58" s="168"/>
      <c r="G58" s="169"/>
    </row>
    <row r="59" spans="1:8" ht="15" customHeight="1" x14ac:dyDescent="0.3">
      <c r="A59" s="24">
        <v>16</v>
      </c>
      <c r="B59" s="25" t="s">
        <v>27</v>
      </c>
      <c r="C59" s="157" t="s">
        <v>150</v>
      </c>
      <c r="D59" s="24">
        <v>10</v>
      </c>
      <c r="E59" s="24">
        <v>6</v>
      </c>
      <c r="F59" s="24">
        <f t="shared" ref="F59:F63" si="2">D59-E59</f>
        <v>4</v>
      </c>
      <c r="G59" s="24" t="s">
        <v>32</v>
      </c>
    </row>
    <row r="60" spans="1:8" ht="15" customHeight="1" x14ac:dyDescent="0.3">
      <c r="A60" s="24">
        <v>16</v>
      </c>
      <c r="B60" s="25" t="s">
        <v>27</v>
      </c>
      <c r="C60" s="157" t="s">
        <v>404</v>
      </c>
      <c r="D60" s="24">
        <v>4</v>
      </c>
      <c r="E60" s="24">
        <v>4</v>
      </c>
      <c r="F60" s="24">
        <f t="shared" si="2"/>
        <v>0</v>
      </c>
      <c r="G60" s="24" t="s">
        <v>32</v>
      </c>
      <c r="H60" s="176">
        <v>2019</v>
      </c>
    </row>
    <row r="61" spans="1:8" ht="15" customHeight="1" x14ac:dyDescent="0.3">
      <c r="A61" s="24">
        <v>16</v>
      </c>
      <c r="B61" s="25" t="s">
        <v>27</v>
      </c>
      <c r="C61" s="157" t="s">
        <v>178</v>
      </c>
      <c r="D61" s="24">
        <v>2</v>
      </c>
      <c r="E61" s="24">
        <v>2</v>
      </c>
      <c r="F61" s="24">
        <f t="shared" si="2"/>
        <v>0</v>
      </c>
      <c r="G61" s="24" t="s">
        <v>33</v>
      </c>
    </row>
    <row r="62" spans="1:8" ht="15" customHeight="1" x14ac:dyDescent="0.3">
      <c r="A62" s="24">
        <v>16</v>
      </c>
      <c r="B62" s="25" t="s">
        <v>27</v>
      </c>
      <c r="C62" s="157" t="s">
        <v>172</v>
      </c>
      <c r="D62" s="24">
        <v>22</v>
      </c>
      <c r="E62" s="24">
        <v>22</v>
      </c>
      <c r="F62" s="24">
        <f t="shared" si="2"/>
        <v>0</v>
      </c>
      <c r="G62" s="24" t="s">
        <v>32</v>
      </c>
    </row>
    <row r="63" spans="1:8" ht="15" customHeight="1" x14ac:dyDescent="0.3">
      <c r="A63" s="24">
        <v>16</v>
      </c>
      <c r="B63" s="25" t="s">
        <v>27</v>
      </c>
      <c r="C63" s="157" t="s">
        <v>54</v>
      </c>
      <c r="D63" s="24">
        <v>62</v>
      </c>
      <c r="E63" s="24">
        <v>46</v>
      </c>
      <c r="F63" s="24">
        <f t="shared" si="2"/>
        <v>16</v>
      </c>
      <c r="G63" s="24" t="s">
        <v>32</v>
      </c>
    </row>
    <row r="64" spans="1:8" x14ac:dyDescent="0.3">
      <c r="A64" s="26">
        <v>16</v>
      </c>
      <c r="B64" s="27" t="s">
        <v>27</v>
      </c>
      <c r="C64" s="159" t="s">
        <v>109</v>
      </c>
      <c r="D64" s="26">
        <v>36</v>
      </c>
      <c r="E64" s="26">
        <v>30</v>
      </c>
      <c r="F64" s="26">
        <f t="shared" si="0"/>
        <v>6</v>
      </c>
      <c r="G64" s="26" t="s">
        <v>33</v>
      </c>
    </row>
    <row r="65" spans="1:8" x14ac:dyDescent="0.3">
      <c r="A65" s="26">
        <v>16</v>
      </c>
      <c r="B65" s="27" t="s">
        <v>27</v>
      </c>
      <c r="C65" s="159" t="s">
        <v>122</v>
      </c>
      <c r="D65" s="26">
        <v>4</v>
      </c>
      <c r="E65" s="26">
        <v>4</v>
      </c>
      <c r="F65" s="26">
        <f t="shared" si="0"/>
        <v>0</v>
      </c>
      <c r="G65" s="26" t="s">
        <v>32</v>
      </c>
    </row>
    <row r="66" spans="1:8" x14ac:dyDescent="0.3">
      <c r="A66" s="26">
        <v>16</v>
      </c>
      <c r="B66" s="27" t="s">
        <v>27</v>
      </c>
      <c r="C66" s="159" t="s">
        <v>75</v>
      </c>
      <c r="D66" s="26">
        <v>14</v>
      </c>
      <c r="E66" s="26">
        <v>14</v>
      </c>
      <c r="F66" s="26">
        <f t="shared" si="0"/>
        <v>0</v>
      </c>
      <c r="G66" s="26" t="s">
        <v>50</v>
      </c>
    </row>
    <row r="67" spans="1:8" x14ac:dyDescent="0.3">
      <c r="A67" s="26">
        <v>16</v>
      </c>
      <c r="B67" s="27" t="s">
        <v>27</v>
      </c>
      <c r="C67" s="159" t="s">
        <v>76</v>
      </c>
      <c r="D67" s="26">
        <v>66</v>
      </c>
      <c r="E67" s="26">
        <v>62</v>
      </c>
      <c r="F67" s="26">
        <f t="shared" si="0"/>
        <v>4</v>
      </c>
      <c r="G67" s="26" t="s">
        <v>32</v>
      </c>
    </row>
    <row r="68" spans="1:8" x14ac:dyDescent="0.3">
      <c r="A68" s="26">
        <v>16</v>
      </c>
      <c r="B68" s="27" t="s">
        <v>27</v>
      </c>
      <c r="C68" s="159" t="s">
        <v>372</v>
      </c>
      <c r="D68" s="26">
        <v>2</v>
      </c>
      <c r="E68" s="26">
        <v>2</v>
      </c>
      <c r="F68" s="26">
        <f t="shared" si="0"/>
        <v>0</v>
      </c>
      <c r="G68" s="26" t="s">
        <v>32</v>
      </c>
      <c r="H68" s="176"/>
    </row>
    <row r="69" spans="1:8" x14ac:dyDescent="0.3">
      <c r="A69" s="26">
        <v>16</v>
      </c>
      <c r="B69" s="27" t="s">
        <v>27</v>
      </c>
      <c r="C69" s="159" t="s">
        <v>238</v>
      </c>
      <c r="D69" s="26">
        <v>4</v>
      </c>
      <c r="E69" s="26"/>
      <c r="F69" s="26">
        <f t="shared" si="0"/>
        <v>4</v>
      </c>
      <c r="G69" s="26" t="s">
        <v>33</v>
      </c>
    </row>
    <row r="70" spans="1:8" x14ac:dyDescent="0.3">
      <c r="A70" s="26">
        <v>16</v>
      </c>
      <c r="B70" s="27" t="s">
        <v>27</v>
      </c>
      <c r="C70" s="159" t="s">
        <v>237</v>
      </c>
      <c r="D70" s="26">
        <v>20</v>
      </c>
      <c r="E70" s="26">
        <v>16</v>
      </c>
      <c r="F70" s="26">
        <f t="shared" si="0"/>
        <v>4</v>
      </c>
      <c r="G70" s="26" t="s">
        <v>33</v>
      </c>
    </row>
    <row r="71" spans="1:8" x14ac:dyDescent="0.3">
      <c r="A71" s="26">
        <v>16</v>
      </c>
      <c r="B71" s="27" t="s">
        <v>27</v>
      </c>
      <c r="C71" s="159" t="s">
        <v>210</v>
      </c>
      <c r="D71" s="26">
        <v>24</v>
      </c>
      <c r="E71" s="26">
        <v>20</v>
      </c>
      <c r="F71" s="26">
        <f t="shared" si="0"/>
        <v>4</v>
      </c>
      <c r="G71" s="26" t="s">
        <v>33</v>
      </c>
    </row>
    <row r="72" spans="1:8" x14ac:dyDescent="0.3">
      <c r="A72" s="26">
        <v>16</v>
      </c>
      <c r="B72" s="27" t="s">
        <v>27</v>
      </c>
      <c r="C72" s="159" t="s">
        <v>239</v>
      </c>
      <c r="D72" s="26">
        <v>16</v>
      </c>
      <c r="E72" s="26">
        <v>12</v>
      </c>
      <c r="F72" s="26">
        <f t="shared" si="0"/>
        <v>4</v>
      </c>
      <c r="G72" s="26" t="s">
        <v>33</v>
      </c>
    </row>
    <row r="73" spans="1:8" x14ac:dyDescent="0.3">
      <c r="A73" s="26">
        <v>16</v>
      </c>
      <c r="B73" s="27" t="s">
        <v>27</v>
      </c>
      <c r="C73" s="159" t="s">
        <v>194</v>
      </c>
      <c r="D73" s="26">
        <v>4</v>
      </c>
      <c r="E73" s="26">
        <v>4</v>
      </c>
      <c r="F73" s="26">
        <f t="shared" si="0"/>
        <v>0</v>
      </c>
      <c r="G73" s="26" t="s">
        <v>32</v>
      </c>
    </row>
    <row r="74" spans="1:8" x14ac:dyDescent="0.3">
      <c r="A74" s="26">
        <v>16</v>
      </c>
      <c r="B74" s="27" t="s">
        <v>27</v>
      </c>
      <c r="C74" s="159" t="s">
        <v>145</v>
      </c>
      <c r="D74" s="26">
        <v>2</v>
      </c>
      <c r="E74" s="26"/>
      <c r="F74" s="26">
        <f t="shared" si="0"/>
        <v>2</v>
      </c>
      <c r="G74" s="26" t="s">
        <v>32</v>
      </c>
    </row>
    <row r="75" spans="1:8" x14ac:dyDescent="0.3">
      <c r="A75" s="26">
        <v>16</v>
      </c>
      <c r="B75" s="27" t="s">
        <v>27</v>
      </c>
      <c r="C75" s="159" t="s">
        <v>278</v>
      </c>
      <c r="D75" s="26">
        <v>2</v>
      </c>
      <c r="E75" s="26"/>
      <c r="F75" s="26">
        <f t="shared" si="0"/>
        <v>2</v>
      </c>
      <c r="G75" s="26" t="s">
        <v>33</v>
      </c>
      <c r="H75" s="176">
        <v>2015</v>
      </c>
    </row>
    <row r="76" spans="1:8" x14ac:dyDescent="0.3">
      <c r="A76" s="26">
        <v>16</v>
      </c>
      <c r="B76" s="27" t="s">
        <v>27</v>
      </c>
      <c r="C76" s="159" t="s">
        <v>288</v>
      </c>
      <c r="D76" s="26">
        <v>4</v>
      </c>
      <c r="E76" s="26">
        <v>4</v>
      </c>
      <c r="F76" s="26">
        <f t="shared" si="0"/>
        <v>0</v>
      </c>
      <c r="G76" s="26" t="s">
        <v>32</v>
      </c>
    </row>
    <row r="77" spans="1:8" x14ac:dyDescent="0.3">
      <c r="A77" s="26">
        <v>16</v>
      </c>
      <c r="B77" s="27" t="s">
        <v>27</v>
      </c>
      <c r="C77" s="159" t="s">
        <v>350</v>
      </c>
      <c r="D77" s="26">
        <v>24</v>
      </c>
      <c r="E77" s="26">
        <v>20</v>
      </c>
      <c r="F77" s="26">
        <f>D77-E77</f>
        <v>4</v>
      </c>
      <c r="G77" s="26" t="s">
        <v>33</v>
      </c>
    </row>
    <row r="78" spans="1:8" x14ac:dyDescent="0.3">
      <c r="A78" s="26">
        <v>16</v>
      </c>
      <c r="B78" s="27" t="s">
        <v>27</v>
      </c>
      <c r="C78" s="159" t="s">
        <v>88</v>
      </c>
      <c r="D78" s="26">
        <v>2</v>
      </c>
      <c r="E78" s="26">
        <v>2</v>
      </c>
      <c r="F78" s="26">
        <f t="shared" ref="F78:F146" si="3">D78-E78</f>
        <v>0</v>
      </c>
      <c r="G78" s="26" t="s">
        <v>50</v>
      </c>
    </row>
    <row r="79" spans="1:8" x14ac:dyDescent="0.3">
      <c r="A79" s="26">
        <v>16</v>
      </c>
      <c r="B79" s="27" t="s">
        <v>27</v>
      </c>
      <c r="C79" s="159" t="s">
        <v>343</v>
      </c>
      <c r="D79" s="26">
        <v>2</v>
      </c>
      <c r="E79" s="26"/>
      <c r="F79" s="26">
        <f t="shared" si="3"/>
        <v>2</v>
      </c>
      <c r="G79" s="26" t="s">
        <v>32</v>
      </c>
    </row>
    <row r="80" spans="1:8" x14ac:dyDescent="0.3">
      <c r="A80" s="26">
        <v>16</v>
      </c>
      <c r="B80" s="27" t="s">
        <v>27</v>
      </c>
      <c r="C80" s="159" t="s">
        <v>373</v>
      </c>
      <c r="D80" s="26">
        <v>2</v>
      </c>
      <c r="E80" s="26">
        <v>2</v>
      </c>
      <c r="F80" s="26">
        <f t="shared" si="3"/>
        <v>0</v>
      </c>
      <c r="G80" s="26" t="s">
        <v>32</v>
      </c>
    </row>
    <row r="81" spans="1:8" x14ac:dyDescent="0.3">
      <c r="A81" s="26">
        <v>16</v>
      </c>
      <c r="B81" s="27" t="s">
        <v>27</v>
      </c>
      <c r="C81" s="159" t="s">
        <v>171</v>
      </c>
      <c r="D81" s="26">
        <v>12</v>
      </c>
      <c r="E81" s="26">
        <v>8</v>
      </c>
      <c r="F81" s="26">
        <f t="shared" si="3"/>
        <v>4</v>
      </c>
      <c r="G81" s="26" t="s">
        <v>33</v>
      </c>
    </row>
    <row r="82" spans="1:8" x14ac:dyDescent="0.3">
      <c r="A82" s="26">
        <v>16</v>
      </c>
      <c r="B82" s="27" t="s">
        <v>27</v>
      </c>
      <c r="C82" s="159" t="s">
        <v>260</v>
      </c>
      <c r="D82" s="26">
        <v>16</v>
      </c>
      <c r="E82" s="26">
        <v>4</v>
      </c>
      <c r="F82" s="26">
        <f t="shared" si="3"/>
        <v>12</v>
      </c>
      <c r="G82" s="26" t="s">
        <v>103</v>
      </c>
    </row>
    <row r="83" spans="1:8" x14ac:dyDescent="0.3">
      <c r="A83" s="26">
        <v>16</v>
      </c>
      <c r="B83" s="27" t="s">
        <v>27</v>
      </c>
      <c r="C83" s="159" t="s">
        <v>296</v>
      </c>
      <c r="D83" s="26">
        <v>8</v>
      </c>
      <c r="E83" s="26">
        <v>4</v>
      </c>
      <c r="F83" s="26">
        <f t="shared" si="3"/>
        <v>4</v>
      </c>
      <c r="G83" s="26" t="s">
        <v>33</v>
      </c>
    </row>
    <row r="84" spans="1:8" x14ac:dyDescent="0.3">
      <c r="A84" s="26">
        <v>16</v>
      </c>
      <c r="B84" s="27" t="s">
        <v>27</v>
      </c>
      <c r="C84" s="159" t="s">
        <v>413</v>
      </c>
      <c r="D84" s="26">
        <v>4</v>
      </c>
      <c r="E84" s="26">
        <v>4</v>
      </c>
      <c r="F84" s="26">
        <f t="shared" si="3"/>
        <v>0</v>
      </c>
      <c r="G84" s="26" t="s">
        <v>32</v>
      </c>
      <c r="H84" s="176">
        <v>2014</v>
      </c>
    </row>
    <row r="85" spans="1:8" x14ac:dyDescent="0.3">
      <c r="A85" s="26">
        <v>16</v>
      </c>
      <c r="B85" s="27" t="s">
        <v>27</v>
      </c>
      <c r="C85" s="159" t="s">
        <v>332</v>
      </c>
      <c r="D85" s="26">
        <v>8</v>
      </c>
      <c r="E85" s="26">
        <v>4</v>
      </c>
      <c r="F85" s="26">
        <f t="shared" si="3"/>
        <v>4</v>
      </c>
      <c r="G85" s="26" t="s">
        <v>33</v>
      </c>
    </row>
    <row r="86" spans="1:8" x14ac:dyDescent="0.3">
      <c r="A86" s="26">
        <v>16</v>
      </c>
      <c r="B86" s="27" t="s">
        <v>27</v>
      </c>
      <c r="C86" s="159" t="s">
        <v>510</v>
      </c>
      <c r="D86" s="26">
        <v>6</v>
      </c>
      <c r="E86" s="26">
        <v>6</v>
      </c>
      <c r="F86" s="26">
        <f t="shared" si="3"/>
        <v>0</v>
      </c>
      <c r="G86" s="26" t="s">
        <v>32</v>
      </c>
      <c r="H86" s="176"/>
    </row>
    <row r="87" spans="1:8" ht="13.2" customHeight="1" x14ac:dyDescent="0.3">
      <c r="A87" s="26">
        <v>16</v>
      </c>
      <c r="B87" s="27" t="s">
        <v>27</v>
      </c>
      <c r="C87" s="159" t="s">
        <v>146</v>
      </c>
      <c r="D87" s="26">
        <v>8</v>
      </c>
      <c r="E87" s="26">
        <v>6</v>
      </c>
      <c r="F87" s="26">
        <f t="shared" si="3"/>
        <v>2</v>
      </c>
      <c r="G87" s="26" t="s">
        <v>32</v>
      </c>
    </row>
    <row r="88" spans="1:8" x14ac:dyDescent="0.3">
      <c r="A88" s="26">
        <v>16</v>
      </c>
      <c r="B88" s="27" t="s">
        <v>27</v>
      </c>
      <c r="C88" s="159" t="s">
        <v>166</v>
      </c>
      <c r="D88" s="26">
        <v>30</v>
      </c>
      <c r="E88" s="26">
        <v>26</v>
      </c>
      <c r="F88" s="26">
        <f t="shared" si="3"/>
        <v>4</v>
      </c>
      <c r="G88" s="26" t="s">
        <v>32</v>
      </c>
    </row>
    <row r="89" spans="1:8" x14ac:dyDescent="0.3">
      <c r="A89" s="26">
        <v>16</v>
      </c>
      <c r="B89" s="27" t="s">
        <v>27</v>
      </c>
      <c r="C89" s="159" t="s">
        <v>134</v>
      </c>
      <c r="D89" s="26">
        <v>16</v>
      </c>
      <c r="E89" s="26">
        <v>16</v>
      </c>
      <c r="F89" s="26">
        <f t="shared" si="3"/>
        <v>0</v>
      </c>
      <c r="G89" s="26" t="s">
        <v>33</v>
      </c>
    </row>
    <row r="90" spans="1:8" x14ac:dyDescent="0.3">
      <c r="A90" s="26">
        <v>16</v>
      </c>
      <c r="B90" s="27" t="s">
        <v>27</v>
      </c>
      <c r="C90" s="159" t="s">
        <v>327</v>
      </c>
      <c r="D90" s="26">
        <v>8</v>
      </c>
      <c r="E90" s="26">
        <v>4</v>
      </c>
      <c r="F90" s="26">
        <f t="shared" si="3"/>
        <v>4</v>
      </c>
      <c r="G90" s="26" t="s">
        <v>33</v>
      </c>
    </row>
    <row r="91" spans="1:8" x14ac:dyDescent="0.3">
      <c r="A91" s="26">
        <v>16</v>
      </c>
      <c r="B91" s="27" t="s">
        <v>27</v>
      </c>
      <c r="C91" s="159" t="s">
        <v>247</v>
      </c>
      <c r="D91" s="26">
        <v>36</v>
      </c>
      <c r="E91" s="26">
        <v>32</v>
      </c>
      <c r="F91" s="26">
        <f t="shared" si="3"/>
        <v>4</v>
      </c>
      <c r="G91" s="26" t="s">
        <v>33</v>
      </c>
    </row>
    <row r="92" spans="1:8" x14ac:dyDescent="0.3">
      <c r="A92" s="26">
        <v>16</v>
      </c>
      <c r="B92" s="27" t="s">
        <v>27</v>
      </c>
      <c r="C92" s="102" t="s">
        <v>147</v>
      </c>
      <c r="D92" s="26">
        <v>16</v>
      </c>
      <c r="E92" s="26">
        <v>6</v>
      </c>
      <c r="F92" s="26">
        <f t="shared" si="3"/>
        <v>10</v>
      </c>
      <c r="G92" s="26" t="s">
        <v>33</v>
      </c>
    </row>
    <row r="93" spans="1:8" x14ac:dyDescent="0.3">
      <c r="A93" s="28">
        <v>16</v>
      </c>
      <c r="B93" s="29" t="s">
        <v>27</v>
      </c>
      <c r="C93" s="156" t="s">
        <v>522</v>
      </c>
      <c r="D93" s="28">
        <v>8</v>
      </c>
      <c r="E93" s="28">
        <v>8</v>
      </c>
      <c r="F93" s="28">
        <f t="shared" si="3"/>
        <v>0</v>
      </c>
      <c r="G93" s="28" t="s">
        <v>32</v>
      </c>
    </row>
    <row r="94" spans="1:8" x14ac:dyDescent="0.3">
      <c r="A94" s="26">
        <v>16</v>
      </c>
      <c r="B94" s="27" t="s">
        <v>27</v>
      </c>
      <c r="C94" s="102" t="s">
        <v>431</v>
      </c>
      <c r="D94" s="26">
        <v>12</v>
      </c>
      <c r="E94" s="26">
        <v>12</v>
      </c>
      <c r="F94" s="26">
        <f t="shared" si="3"/>
        <v>0</v>
      </c>
      <c r="G94" s="26" t="s">
        <v>32</v>
      </c>
    </row>
    <row r="95" spans="1:8" ht="18.600000000000001" thickBot="1" x14ac:dyDescent="0.4">
      <c r="A95" s="166"/>
      <c r="B95" s="167" t="s">
        <v>68</v>
      </c>
      <c r="C95" s="168"/>
      <c r="D95" s="168"/>
      <c r="E95" s="168"/>
      <c r="F95" s="168"/>
      <c r="G95" s="169"/>
    </row>
    <row r="96" spans="1:8" x14ac:dyDescent="0.3">
      <c r="A96" s="24">
        <v>16</v>
      </c>
      <c r="B96" s="25" t="s">
        <v>68</v>
      </c>
      <c r="C96" s="160" t="s">
        <v>108</v>
      </c>
      <c r="D96" s="24">
        <v>2</v>
      </c>
      <c r="E96" s="24"/>
      <c r="F96" s="24">
        <f t="shared" si="3"/>
        <v>2</v>
      </c>
      <c r="G96" s="24" t="s">
        <v>33</v>
      </c>
    </row>
    <row r="97" spans="1:8" x14ac:dyDescent="0.3">
      <c r="A97" s="24">
        <v>16</v>
      </c>
      <c r="B97" s="25" t="s">
        <v>68</v>
      </c>
      <c r="C97" s="160" t="s">
        <v>353</v>
      </c>
      <c r="D97" s="24">
        <v>6</v>
      </c>
      <c r="E97" s="24">
        <v>4</v>
      </c>
      <c r="F97" s="24">
        <f t="shared" si="3"/>
        <v>2</v>
      </c>
      <c r="G97" s="24" t="s">
        <v>33</v>
      </c>
    </row>
    <row r="98" spans="1:8" x14ac:dyDescent="0.3">
      <c r="A98" s="24">
        <v>16</v>
      </c>
      <c r="B98" s="25" t="s">
        <v>68</v>
      </c>
      <c r="C98" s="160" t="s">
        <v>417</v>
      </c>
      <c r="D98" s="24">
        <v>4</v>
      </c>
      <c r="E98" s="24">
        <v>4</v>
      </c>
      <c r="F98" s="24">
        <f t="shared" si="3"/>
        <v>0</v>
      </c>
      <c r="G98" s="24" t="s">
        <v>33</v>
      </c>
    </row>
    <row r="99" spans="1:8" x14ac:dyDescent="0.3">
      <c r="A99" s="24">
        <v>16</v>
      </c>
      <c r="B99" s="25" t="s">
        <v>68</v>
      </c>
      <c r="C99" s="160" t="s">
        <v>416</v>
      </c>
      <c r="D99" s="24">
        <v>4</v>
      </c>
      <c r="E99" s="24">
        <v>4</v>
      </c>
      <c r="F99" s="24">
        <f t="shared" si="3"/>
        <v>0</v>
      </c>
      <c r="G99" s="24" t="s">
        <v>32</v>
      </c>
      <c r="H99" s="176">
        <v>2019</v>
      </c>
    </row>
    <row r="100" spans="1:8" x14ac:dyDescent="0.3">
      <c r="A100" s="24">
        <v>16</v>
      </c>
      <c r="B100" s="25" t="s">
        <v>68</v>
      </c>
      <c r="C100" s="160" t="s">
        <v>515</v>
      </c>
      <c r="D100" s="24">
        <v>4</v>
      </c>
      <c r="E100" s="24">
        <v>4</v>
      </c>
      <c r="F100" s="24">
        <f t="shared" si="3"/>
        <v>0</v>
      </c>
      <c r="G100" s="24" t="s">
        <v>32</v>
      </c>
      <c r="H100" s="176"/>
    </row>
    <row r="101" spans="1:8" x14ac:dyDescent="0.3">
      <c r="A101" s="24">
        <v>16</v>
      </c>
      <c r="B101" s="25" t="s">
        <v>68</v>
      </c>
      <c r="C101" s="160" t="s">
        <v>171</v>
      </c>
      <c r="D101" s="24">
        <v>2</v>
      </c>
      <c r="E101" s="24">
        <v>2</v>
      </c>
      <c r="F101" s="24">
        <f t="shared" si="3"/>
        <v>0</v>
      </c>
      <c r="G101" s="24" t="s">
        <v>33</v>
      </c>
    </row>
    <row r="102" spans="1:8" x14ac:dyDescent="0.3">
      <c r="A102" s="24">
        <v>16</v>
      </c>
      <c r="B102" s="25" t="s">
        <v>68</v>
      </c>
      <c r="C102" s="160" t="s">
        <v>352</v>
      </c>
      <c r="D102" s="24">
        <v>2</v>
      </c>
      <c r="E102" s="24"/>
      <c r="F102" s="24">
        <f t="shared" si="3"/>
        <v>2</v>
      </c>
      <c r="G102" s="24" t="s">
        <v>33</v>
      </c>
    </row>
    <row r="103" spans="1:8" x14ac:dyDescent="0.3">
      <c r="A103" s="24">
        <v>16</v>
      </c>
      <c r="B103" s="25" t="s">
        <v>68</v>
      </c>
      <c r="C103" s="160" t="s">
        <v>183</v>
      </c>
      <c r="D103" s="24">
        <v>4</v>
      </c>
      <c r="E103" s="24"/>
      <c r="F103" s="24">
        <f t="shared" si="3"/>
        <v>4</v>
      </c>
      <c r="G103" s="24" t="s">
        <v>32</v>
      </c>
    </row>
    <row r="104" spans="1:8" ht="18" x14ac:dyDescent="0.35">
      <c r="A104" s="74"/>
      <c r="B104" s="75" t="s">
        <v>23</v>
      </c>
      <c r="C104" s="75"/>
      <c r="D104" s="74"/>
      <c r="E104" s="74"/>
      <c r="F104" s="74"/>
      <c r="G104" s="74"/>
    </row>
    <row r="105" spans="1:8" x14ac:dyDescent="0.3">
      <c r="A105" s="26">
        <v>16</v>
      </c>
      <c r="B105" s="27" t="s">
        <v>23</v>
      </c>
      <c r="C105" s="159" t="s">
        <v>35</v>
      </c>
      <c r="D105" s="26">
        <v>10</v>
      </c>
      <c r="E105" s="26">
        <v>8</v>
      </c>
      <c r="F105" s="26">
        <f t="shared" si="3"/>
        <v>2</v>
      </c>
      <c r="G105" s="26" t="s">
        <v>32</v>
      </c>
    </row>
    <row r="106" spans="1:8" x14ac:dyDescent="0.3">
      <c r="A106" s="26">
        <v>16</v>
      </c>
      <c r="B106" s="27" t="s">
        <v>23</v>
      </c>
      <c r="C106" s="159" t="s">
        <v>414</v>
      </c>
      <c r="D106" s="26">
        <v>4</v>
      </c>
      <c r="E106" s="26"/>
      <c r="F106" s="26">
        <f t="shared" si="3"/>
        <v>4</v>
      </c>
      <c r="G106" s="26" t="s">
        <v>32</v>
      </c>
      <c r="H106" s="176">
        <v>2017</v>
      </c>
    </row>
    <row r="107" spans="1:8" x14ac:dyDescent="0.3">
      <c r="A107" s="26">
        <v>16</v>
      </c>
      <c r="B107" s="27" t="s">
        <v>23</v>
      </c>
      <c r="C107" s="159" t="s">
        <v>54</v>
      </c>
      <c r="D107" s="26">
        <v>20</v>
      </c>
      <c r="E107" s="26">
        <v>18</v>
      </c>
      <c r="F107" s="26">
        <f t="shared" si="3"/>
        <v>2</v>
      </c>
      <c r="G107" s="26" t="s">
        <v>32</v>
      </c>
    </row>
    <row r="108" spans="1:8" x14ac:dyDescent="0.3">
      <c r="A108" s="26">
        <v>16</v>
      </c>
      <c r="B108" s="27" t="s">
        <v>23</v>
      </c>
      <c r="C108" s="102" t="s">
        <v>145</v>
      </c>
      <c r="D108" s="26">
        <v>6</v>
      </c>
      <c r="E108" s="26">
        <v>4</v>
      </c>
      <c r="F108" s="26">
        <f t="shared" si="3"/>
        <v>2</v>
      </c>
      <c r="G108" s="26" t="s">
        <v>32</v>
      </c>
    </row>
    <row r="109" spans="1:8" x14ac:dyDescent="0.3">
      <c r="A109" s="26">
        <v>16</v>
      </c>
      <c r="B109" s="27" t="s">
        <v>23</v>
      </c>
      <c r="C109" s="102" t="s">
        <v>513</v>
      </c>
      <c r="D109" s="26">
        <v>4</v>
      </c>
      <c r="E109" s="26">
        <v>4</v>
      </c>
      <c r="F109" s="26">
        <f t="shared" si="3"/>
        <v>0</v>
      </c>
      <c r="G109" s="26" t="s">
        <v>32</v>
      </c>
    </row>
    <row r="110" spans="1:8" x14ac:dyDescent="0.3">
      <c r="A110" s="26">
        <v>16</v>
      </c>
      <c r="B110" s="27" t="s">
        <v>23</v>
      </c>
      <c r="C110" s="102" t="s">
        <v>66</v>
      </c>
      <c r="D110" s="26">
        <v>4</v>
      </c>
      <c r="E110" s="26">
        <v>4</v>
      </c>
      <c r="F110" s="26">
        <f t="shared" si="3"/>
        <v>0</v>
      </c>
      <c r="G110" s="26" t="s">
        <v>32</v>
      </c>
    </row>
    <row r="111" spans="1:8" ht="15" thickBot="1" x14ac:dyDescent="0.35">
      <c r="A111" s="28">
        <v>16</v>
      </c>
      <c r="B111" s="29" t="s">
        <v>23</v>
      </c>
      <c r="C111" s="156" t="s">
        <v>40</v>
      </c>
      <c r="D111" s="28">
        <v>4</v>
      </c>
      <c r="E111" s="28"/>
      <c r="F111" s="28">
        <f t="shared" si="3"/>
        <v>4</v>
      </c>
      <c r="G111" s="28" t="s">
        <v>32</v>
      </c>
    </row>
    <row r="112" spans="1:8" ht="18.600000000000001" thickBot="1" x14ac:dyDescent="0.4">
      <c r="A112" s="18"/>
      <c r="B112" s="19" t="s">
        <v>17</v>
      </c>
      <c r="C112" s="19"/>
      <c r="D112" s="20"/>
      <c r="E112" s="20"/>
      <c r="F112" s="20"/>
      <c r="G112" s="21"/>
    </row>
    <row r="113" spans="1:8" x14ac:dyDescent="0.3">
      <c r="A113" s="26">
        <v>16</v>
      </c>
      <c r="B113" s="27" t="s">
        <v>17</v>
      </c>
      <c r="C113" s="159" t="s">
        <v>260</v>
      </c>
      <c r="D113" s="26">
        <v>12</v>
      </c>
      <c r="E113" s="26"/>
      <c r="F113" s="26">
        <f t="shared" si="3"/>
        <v>12</v>
      </c>
      <c r="G113" s="26" t="s">
        <v>33</v>
      </c>
    </row>
    <row r="114" spans="1:8" x14ac:dyDescent="0.3">
      <c r="A114" s="26">
        <v>16</v>
      </c>
      <c r="B114" s="27" t="s">
        <v>17</v>
      </c>
      <c r="C114" s="159" t="s">
        <v>77</v>
      </c>
      <c r="D114" s="26">
        <v>8</v>
      </c>
      <c r="E114" s="26">
        <v>8</v>
      </c>
      <c r="F114" s="26">
        <f t="shared" si="3"/>
        <v>0</v>
      </c>
      <c r="G114" s="26" t="s">
        <v>33</v>
      </c>
    </row>
    <row r="115" spans="1:8" x14ac:dyDescent="0.3">
      <c r="A115" s="26">
        <v>16</v>
      </c>
      <c r="B115" s="27" t="s">
        <v>17</v>
      </c>
      <c r="C115" s="102" t="s">
        <v>118</v>
      </c>
      <c r="D115" s="26">
        <v>22</v>
      </c>
      <c r="E115" s="26">
        <v>22</v>
      </c>
      <c r="F115" s="26">
        <f t="shared" si="3"/>
        <v>0</v>
      </c>
      <c r="G115" s="26" t="s">
        <v>50</v>
      </c>
    </row>
    <row r="116" spans="1:8" x14ac:dyDescent="0.3">
      <c r="A116" s="26">
        <v>16</v>
      </c>
      <c r="B116" s="27" t="s">
        <v>17</v>
      </c>
      <c r="C116" s="102" t="s">
        <v>53</v>
      </c>
      <c r="D116" s="26">
        <v>2</v>
      </c>
      <c r="E116" s="26">
        <v>2</v>
      </c>
      <c r="F116" s="26">
        <f t="shared" si="3"/>
        <v>0</v>
      </c>
      <c r="G116" s="26" t="s">
        <v>32</v>
      </c>
    </row>
    <row r="117" spans="1:8" x14ac:dyDescent="0.3">
      <c r="A117" s="26">
        <v>16</v>
      </c>
      <c r="B117" s="27" t="s">
        <v>17</v>
      </c>
      <c r="C117" s="102" t="s">
        <v>142</v>
      </c>
      <c r="D117" s="26">
        <v>6</v>
      </c>
      <c r="E117" s="26">
        <v>4</v>
      </c>
      <c r="F117" s="26">
        <f t="shared" si="3"/>
        <v>2</v>
      </c>
      <c r="G117" s="26" t="s">
        <v>33</v>
      </c>
    </row>
    <row r="118" spans="1:8" x14ac:dyDescent="0.3">
      <c r="A118" s="26">
        <v>16</v>
      </c>
      <c r="B118" s="27" t="s">
        <v>17</v>
      </c>
      <c r="C118" s="102" t="s">
        <v>150</v>
      </c>
      <c r="D118" s="26">
        <v>6</v>
      </c>
      <c r="E118" s="26">
        <v>2</v>
      </c>
      <c r="F118" s="26">
        <f t="shared" si="3"/>
        <v>4</v>
      </c>
      <c r="G118" s="26" t="s">
        <v>32</v>
      </c>
    </row>
    <row r="119" spans="1:8" x14ac:dyDescent="0.3">
      <c r="A119" s="26">
        <v>16</v>
      </c>
      <c r="B119" s="27" t="s">
        <v>17</v>
      </c>
      <c r="C119" s="102" t="s">
        <v>319</v>
      </c>
      <c r="D119" s="26">
        <v>4</v>
      </c>
      <c r="E119" s="26"/>
      <c r="F119" s="26">
        <f t="shared" si="3"/>
        <v>4</v>
      </c>
      <c r="G119" s="26" t="s">
        <v>32</v>
      </c>
    </row>
    <row r="120" spans="1:8" x14ac:dyDescent="0.3">
      <c r="A120" s="26">
        <v>16</v>
      </c>
      <c r="B120" s="27" t="s">
        <v>17</v>
      </c>
      <c r="C120" s="102" t="s">
        <v>521</v>
      </c>
      <c r="D120" s="26">
        <v>6</v>
      </c>
      <c r="E120" s="26">
        <v>6</v>
      </c>
      <c r="F120" s="26">
        <f t="shared" si="3"/>
        <v>0</v>
      </c>
      <c r="G120" s="26" t="s">
        <v>32</v>
      </c>
      <c r="H120" s="176"/>
    </row>
    <row r="121" spans="1:8" x14ac:dyDescent="0.3">
      <c r="A121" s="26">
        <v>16</v>
      </c>
      <c r="B121" s="27" t="s">
        <v>17</v>
      </c>
      <c r="C121" s="102" t="s">
        <v>151</v>
      </c>
      <c r="D121" s="26">
        <v>8</v>
      </c>
      <c r="E121" s="26">
        <v>4</v>
      </c>
      <c r="F121" s="26">
        <f t="shared" si="3"/>
        <v>4</v>
      </c>
      <c r="G121" s="26" t="s">
        <v>32</v>
      </c>
    </row>
    <row r="122" spans="1:8" x14ac:dyDescent="0.3">
      <c r="A122" s="26">
        <v>16</v>
      </c>
      <c r="B122" s="27" t="s">
        <v>17</v>
      </c>
      <c r="C122" s="102" t="s">
        <v>377</v>
      </c>
      <c r="D122" s="26">
        <v>8</v>
      </c>
      <c r="E122" s="26">
        <v>8</v>
      </c>
      <c r="F122" s="26">
        <f t="shared" si="3"/>
        <v>0</v>
      </c>
      <c r="G122" s="26" t="s">
        <v>33</v>
      </c>
    </row>
    <row r="123" spans="1:8" x14ac:dyDescent="0.3">
      <c r="A123" s="26">
        <v>16</v>
      </c>
      <c r="B123" s="27" t="s">
        <v>17</v>
      </c>
      <c r="C123" s="102" t="s">
        <v>499</v>
      </c>
      <c r="D123" s="26">
        <v>8</v>
      </c>
      <c r="E123" s="26">
        <v>4</v>
      </c>
      <c r="F123" s="26">
        <f t="shared" si="3"/>
        <v>4</v>
      </c>
      <c r="G123" s="26" t="s">
        <v>32</v>
      </c>
    </row>
    <row r="124" spans="1:8" x14ac:dyDescent="0.3">
      <c r="A124" s="26">
        <v>16</v>
      </c>
      <c r="B124" s="27" t="s">
        <v>17</v>
      </c>
      <c r="C124" s="102" t="s">
        <v>40</v>
      </c>
      <c r="D124" s="26">
        <v>10</v>
      </c>
      <c r="E124" s="26">
        <v>8</v>
      </c>
      <c r="F124" s="26">
        <f t="shared" si="3"/>
        <v>2</v>
      </c>
      <c r="G124" s="26" t="s">
        <v>32</v>
      </c>
    </row>
    <row r="125" spans="1:8" x14ac:dyDescent="0.3">
      <c r="A125" s="26">
        <v>16</v>
      </c>
      <c r="B125" s="27" t="s">
        <v>17</v>
      </c>
      <c r="C125" s="102" t="s">
        <v>277</v>
      </c>
      <c r="D125" s="26">
        <v>20</v>
      </c>
      <c r="E125" s="26">
        <v>10</v>
      </c>
      <c r="F125" s="26">
        <f t="shared" si="3"/>
        <v>10</v>
      </c>
      <c r="G125" s="26" t="s">
        <v>33</v>
      </c>
    </row>
    <row r="126" spans="1:8" x14ac:dyDescent="0.3">
      <c r="A126" s="26">
        <v>16</v>
      </c>
      <c r="B126" s="27" t="s">
        <v>17</v>
      </c>
      <c r="C126" s="102" t="s">
        <v>250</v>
      </c>
      <c r="D126" s="26">
        <v>8</v>
      </c>
      <c r="E126" s="26">
        <v>8</v>
      </c>
      <c r="F126" s="26">
        <f t="shared" si="3"/>
        <v>0</v>
      </c>
      <c r="G126" s="26" t="s">
        <v>33</v>
      </c>
    </row>
    <row r="127" spans="1:8" x14ac:dyDescent="0.3">
      <c r="A127" s="26">
        <v>16</v>
      </c>
      <c r="B127" s="27" t="s">
        <v>17</v>
      </c>
      <c r="C127" s="102" t="s">
        <v>206</v>
      </c>
      <c r="D127" s="26">
        <v>8</v>
      </c>
      <c r="E127" s="26"/>
      <c r="F127" s="26">
        <f t="shared" si="3"/>
        <v>8</v>
      </c>
      <c r="G127" s="26" t="s">
        <v>33</v>
      </c>
    </row>
    <row r="128" spans="1:8" x14ac:dyDescent="0.3">
      <c r="A128" s="26">
        <v>16</v>
      </c>
      <c r="B128" s="27" t="s">
        <v>17</v>
      </c>
      <c r="C128" s="102" t="s">
        <v>328</v>
      </c>
      <c r="D128" s="26">
        <v>4</v>
      </c>
      <c r="E128" s="26"/>
      <c r="F128" s="26">
        <f t="shared" si="3"/>
        <v>4</v>
      </c>
      <c r="G128" s="26" t="s">
        <v>33</v>
      </c>
    </row>
    <row r="129" spans="1:8" x14ac:dyDescent="0.3">
      <c r="A129" s="26">
        <v>16</v>
      </c>
      <c r="B129" s="27" t="s">
        <v>17</v>
      </c>
      <c r="C129" s="102" t="s">
        <v>135</v>
      </c>
      <c r="D129" s="26">
        <v>4</v>
      </c>
      <c r="E129" s="26">
        <v>4</v>
      </c>
      <c r="F129" s="26">
        <f t="shared" si="3"/>
        <v>0</v>
      </c>
      <c r="G129" s="26" t="s">
        <v>33</v>
      </c>
    </row>
    <row r="130" spans="1:8" x14ac:dyDescent="0.3">
      <c r="A130" s="26">
        <v>16</v>
      </c>
      <c r="B130" s="27" t="s">
        <v>17</v>
      </c>
      <c r="C130" s="102" t="s">
        <v>355</v>
      </c>
      <c r="D130" s="26">
        <v>4</v>
      </c>
      <c r="E130" s="26">
        <v>4</v>
      </c>
      <c r="F130" s="26">
        <f t="shared" si="3"/>
        <v>0</v>
      </c>
      <c r="G130" s="26" t="s">
        <v>33</v>
      </c>
    </row>
    <row r="131" spans="1:8" x14ac:dyDescent="0.3">
      <c r="A131" s="26">
        <v>16</v>
      </c>
      <c r="B131" s="27" t="s">
        <v>17</v>
      </c>
      <c r="C131" s="102" t="s">
        <v>133</v>
      </c>
      <c r="D131" s="26">
        <v>16</v>
      </c>
      <c r="E131" s="26">
        <v>16</v>
      </c>
      <c r="F131" s="26">
        <f t="shared" si="3"/>
        <v>0</v>
      </c>
      <c r="G131" s="26" t="s">
        <v>33</v>
      </c>
      <c r="H131" s="2" t="s">
        <v>451</v>
      </c>
    </row>
    <row r="132" spans="1:8" x14ac:dyDescent="0.3">
      <c r="A132" s="26">
        <v>16</v>
      </c>
      <c r="B132" s="27" t="s">
        <v>17</v>
      </c>
      <c r="C132" s="102" t="s">
        <v>247</v>
      </c>
      <c r="D132" s="26">
        <v>32</v>
      </c>
      <c r="E132" s="26">
        <v>24</v>
      </c>
      <c r="F132" s="26">
        <f t="shared" si="3"/>
        <v>8</v>
      </c>
      <c r="G132" s="26" t="s">
        <v>33</v>
      </c>
    </row>
    <row r="133" spans="1:8" x14ac:dyDescent="0.3">
      <c r="A133" s="26">
        <v>16</v>
      </c>
      <c r="B133" s="27" t="s">
        <v>17</v>
      </c>
      <c r="C133" s="102" t="s">
        <v>532</v>
      </c>
      <c r="D133" s="26">
        <v>12</v>
      </c>
      <c r="E133" s="26">
        <v>4</v>
      </c>
      <c r="F133" s="26">
        <f t="shared" si="3"/>
        <v>8</v>
      </c>
      <c r="G133" s="26" t="s">
        <v>32</v>
      </c>
      <c r="H133" s="2" t="s">
        <v>153</v>
      </c>
    </row>
    <row r="134" spans="1:8" ht="18.600000000000001" thickBot="1" x14ac:dyDescent="0.4">
      <c r="A134" s="166"/>
      <c r="B134" s="167" t="s">
        <v>63</v>
      </c>
      <c r="C134" s="168"/>
      <c r="D134" s="168"/>
      <c r="E134" s="168"/>
      <c r="F134" s="168"/>
      <c r="G134" s="169"/>
    </row>
    <row r="135" spans="1:8" x14ac:dyDescent="0.3">
      <c r="A135" s="24">
        <v>16</v>
      </c>
      <c r="B135" s="25" t="s">
        <v>63</v>
      </c>
      <c r="C135" s="160" t="s">
        <v>76</v>
      </c>
      <c r="D135" s="24">
        <v>124</v>
      </c>
      <c r="E135" s="24">
        <v>124</v>
      </c>
      <c r="F135" s="24">
        <f t="shared" si="3"/>
        <v>0</v>
      </c>
      <c r="G135" s="24" t="s">
        <v>32</v>
      </c>
    </row>
    <row r="136" spans="1:8" x14ac:dyDescent="0.3">
      <c r="A136" s="24">
        <v>16</v>
      </c>
      <c r="B136" s="25" t="s">
        <v>63</v>
      </c>
      <c r="C136" s="160" t="s">
        <v>75</v>
      </c>
      <c r="D136" s="24">
        <v>38</v>
      </c>
      <c r="E136" s="24">
        <v>36</v>
      </c>
      <c r="F136" s="24">
        <f t="shared" si="3"/>
        <v>2</v>
      </c>
      <c r="G136" s="24" t="s">
        <v>32</v>
      </c>
    </row>
    <row r="137" spans="1:8" x14ac:dyDescent="0.3">
      <c r="A137" s="26">
        <v>16</v>
      </c>
      <c r="B137" s="27" t="s">
        <v>63</v>
      </c>
      <c r="C137" s="102" t="s">
        <v>168</v>
      </c>
      <c r="D137" s="26">
        <v>84</v>
      </c>
      <c r="E137" s="26">
        <v>78</v>
      </c>
      <c r="F137" s="26">
        <f t="shared" si="3"/>
        <v>6</v>
      </c>
      <c r="G137" s="26" t="s">
        <v>50</v>
      </c>
    </row>
    <row r="138" spans="1:8" x14ac:dyDescent="0.3">
      <c r="A138" s="26">
        <v>16</v>
      </c>
      <c r="B138" s="27" t="s">
        <v>63</v>
      </c>
      <c r="C138" s="102" t="s">
        <v>85</v>
      </c>
      <c r="D138" s="26">
        <v>24</v>
      </c>
      <c r="E138" s="26">
        <v>20</v>
      </c>
      <c r="F138" s="26">
        <f t="shared" si="3"/>
        <v>4</v>
      </c>
      <c r="G138" s="26" t="s">
        <v>50</v>
      </c>
    </row>
    <row r="139" spans="1:8" x14ac:dyDescent="0.3">
      <c r="A139" s="26">
        <v>16</v>
      </c>
      <c r="B139" s="27" t="s">
        <v>63</v>
      </c>
      <c r="C139" s="102" t="s">
        <v>247</v>
      </c>
      <c r="D139" s="26">
        <v>38</v>
      </c>
      <c r="E139" s="26">
        <v>38</v>
      </c>
      <c r="F139" s="26">
        <f t="shared" si="3"/>
        <v>0</v>
      </c>
      <c r="G139" s="26" t="s">
        <v>33</v>
      </c>
    </row>
    <row r="140" spans="1:8" x14ac:dyDescent="0.3">
      <c r="A140" s="26">
        <v>16</v>
      </c>
      <c r="B140" s="27" t="s">
        <v>63</v>
      </c>
      <c r="C140" s="102" t="s">
        <v>35</v>
      </c>
      <c r="D140" s="26">
        <v>22</v>
      </c>
      <c r="E140" s="26">
        <v>18</v>
      </c>
      <c r="F140" s="26">
        <f t="shared" si="3"/>
        <v>4</v>
      </c>
      <c r="G140" s="26" t="s">
        <v>32</v>
      </c>
    </row>
    <row r="141" spans="1:8" x14ac:dyDescent="0.3">
      <c r="A141" s="26">
        <v>16</v>
      </c>
      <c r="B141" s="27" t="s">
        <v>63</v>
      </c>
      <c r="C141" s="102" t="s">
        <v>383</v>
      </c>
      <c r="D141" s="26">
        <v>4</v>
      </c>
      <c r="E141" s="26"/>
      <c r="F141" s="26">
        <f t="shared" si="3"/>
        <v>4</v>
      </c>
      <c r="G141" s="26" t="s">
        <v>32</v>
      </c>
      <c r="H141" s="176">
        <v>2014</v>
      </c>
    </row>
    <row r="142" spans="1:8" x14ac:dyDescent="0.3">
      <c r="A142" s="26">
        <v>16</v>
      </c>
      <c r="B142" s="27" t="s">
        <v>63</v>
      </c>
      <c r="C142" s="159" t="s">
        <v>341</v>
      </c>
      <c r="D142" s="26">
        <v>10</v>
      </c>
      <c r="E142" s="26">
        <v>6</v>
      </c>
      <c r="F142" s="26">
        <f t="shared" si="3"/>
        <v>4</v>
      </c>
      <c r="G142" s="26" t="s">
        <v>32</v>
      </c>
    </row>
    <row r="143" spans="1:8" x14ac:dyDescent="0.3">
      <c r="A143" s="26">
        <v>16</v>
      </c>
      <c r="B143" s="27" t="s">
        <v>63</v>
      </c>
      <c r="C143" s="159" t="s">
        <v>183</v>
      </c>
      <c r="D143" s="26">
        <v>4</v>
      </c>
      <c r="E143" s="26">
        <v>4</v>
      </c>
      <c r="F143" s="26">
        <f t="shared" si="3"/>
        <v>0</v>
      </c>
      <c r="G143" s="26" t="s">
        <v>32</v>
      </c>
    </row>
    <row r="144" spans="1:8" x14ac:dyDescent="0.3">
      <c r="A144" s="26">
        <v>16</v>
      </c>
      <c r="B144" s="27" t="s">
        <v>63</v>
      </c>
      <c r="C144" s="159" t="s">
        <v>141</v>
      </c>
      <c r="D144" s="26">
        <v>6</v>
      </c>
      <c r="E144" s="26">
        <v>4</v>
      </c>
      <c r="F144" s="26">
        <f t="shared" si="3"/>
        <v>2</v>
      </c>
      <c r="G144" s="26" t="s">
        <v>32</v>
      </c>
    </row>
    <row r="145" spans="1:8" x14ac:dyDescent="0.3">
      <c r="A145" s="26">
        <v>16</v>
      </c>
      <c r="B145" s="27" t="s">
        <v>63</v>
      </c>
      <c r="C145" s="159" t="s">
        <v>340</v>
      </c>
      <c r="D145" s="26">
        <v>2</v>
      </c>
      <c r="E145" s="26"/>
      <c r="F145" s="26">
        <f t="shared" si="3"/>
        <v>2</v>
      </c>
      <c r="G145" s="26" t="s">
        <v>32</v>
      </c>
    </row>
    <row r="146" spans="1:8" x14ac:dyDescent="0.3">
      <c r="A146" s="26">
        <v>16</v>
      </c>
      <c r="B146" s="27" t="s">
        <v>63</v>
      </c>
      <c r="C146" s="159" t="s">
        <v>233</v>
      </c>
      <c r="D146" s="26">
        <v>12</v>
      </c>
      <c r="E146" s="26">
        <v>8</v>
      </c>
      <c r="F146" s="26">
        <f t="shared" si="3"/>
        <v>4</v>
      </c>
      <c r="G146" s="26" t="s">
        <v>33</v>
      </c>
    </row>
    <row r="147" spans="1:8" x14ac:dyDescent="0.3">
      <c r="A147" s="26">
        <v>16</v>
      </c>
      <c r="B147" s="27" t="s">
        <v>63</v>
      </c>
      <c r="C147" s="102" t="s">
        <v>479</v>
      </c>
      <c r="D147" s="26">
        <v>20</v>
      </c>
      <c r="E147" s="26">
        <v>12</v>
      </c>
      <c r="F147" s="26">
        <f t="shared" ref="F147:F171" si="4">D147-E147</f>
        <v>8</v>
      </c>
      <c r="G147" s="26" t="s">
        <v>32</v>
      </c>
      <c r="H147" s="176">
        <v>2022</v>
      </c>
    </row>
    <row r="148" spans="1:8" ht="18.600000000000001" thickBot="1" x14ac:dyDescent="0.4">
      <c r="A148" s="166"/>
      <c r="B148" s="167" t="s">
        <v>62</v>
      </c>
      <c r="C148" s="168"/>
      <c r="D148" s="168"/>
      <c r="E148" s="168"/>
      <c r="F148" s="168"/>
      <c r="G148" s="169"/>
    </row>
    <row r="149" spans="1:8" x14ac:dyDescent="0.3">
      <c r="A149" s="24">
        <v>16</v>
      </c>
      <c r="B149" s="25" t="s">
        <v>62</v>
      </c>
      <c r="C149" s="160" t="s">
        <v>298</v>
      </c>
      <c r="D149" s="24">
        <v>44</v>
      </c>
      <c r="E149" s="24">
        <v>44</v>
      </c>
      <c r="F149" s="24">
        <f t="shared" si="4"/>
        <v>0</v>
      </c>
      <c r="G149" s="24" t="s">
        <v>32</v>
      </c>
      <c r="H149" s="176">
        <v>2021</v>
      </c>
    </row>
    <row r="150" spans="1:8" x14ac:dyDescent="0.3">
      <c r="A150" s="24">
        <v>16</v>
      </c>
      <c r="B150" s="25" t="s">
        <v>62</v>
      </c>
      <c r="C150" s="160" t="s">
        <v>75</v>
      </c>
      <c r="D150" s="24">
        <v>10</v>
      </c>
      <c r="E150" s="24">
        <v>10</v>
      </c>
      <c r="F150" s="24">
        <f t="shared" si="4"/>
        <v>0</v>
      </c>
      <c r="G150" s="24" t="s">
        <v>32</v>
      </c>
    </row>
    <row r="151" spans="1:8" x14ac:dyDescent="0.3">
      <c r="A151" s="24">
        <v>16</v>
      </c>
      <c r="B151" s="25" t="s">
        <v>62</v>
      </c>
      <c r="C151" s="160" t="s">
        <v>271</v>
      </c>
      <c r="D151" s="24">
        <v>12</v>
      </c>
      <c r="E151" s="24">
        <v>12</v>
      </c>
      <c r="F151" s="24">
        <f t="shared" si="4"/>
        <v>0</v>
      </c>
      <c r="G151" s="24" t="s">
        <v>32</v>
      </c>
    </row>
    <row r="152" spans="1:8" x14ac:dyDescent="0.3">
      <c r="A152" s="24">
        <v>16</v>
      </c>
      <c r="B152" s="25" t="s">
        <v>62</v>
      </c>
      <c r="C152" s="160" t="s">
        <v>418</v>
      </c>
      <c r="D152" s="24">
        <v>4</v>
      </c>
      <c r="E152" s="24">
        <v>4</v>
      </c>
      <c r="F152" s="24">
        <f t="shared" si="4"/>
        <v>0</v>
      </c>
      <c r="G152" s="24" t="s">
        <v>32</v>
      </c>
      <c r="H152" s="176">
        <v>2018</v>
      </c>
    </row>
    <row r="153" spans="1:8" x14ac:dyDescent="0.3">
      <c r="A153" s="24">
        <v>16</v>
      </c>
      <c r="B153" s="25" t="s">
        <v>62</v>
      </c>
      <c r="C153" s="160" t="s">
        <v>317</v>
      </c>
      <c r="D153" s="24">
        <v>12</v>
      </c>
      <c r="E153" s="24">
        <v>10</v>
      </c>
      <c r="F153" s="24">
        <f t="shared" si="4"/>
        <v>2</v>
      </c>
      <c r="G153" s="24" t="s">
        <v>32</v>
      </c>
    </row>
    <row r="154" spans="1:8" x14ac:dyDescent="0.3">
      <c r="A154" s="24">
        <v>16</v>
      </c>
      <c r="B154" s="25" t="s">
        <v>62</v>
      </c>
      <c r="C154" s="160" t="s">
        <v>391</v>
      </c>
      <c r="D154" s="24">
        <v>2</v>
      </c>
      <c r="E154" s="24"/>
      <c r="F154" s="24">
        <f t="shared" si="4"/>
        <v>2</v>
      </c>
      <c r="G154" s="24" t="s">
        <v>32</v>
      </c>
    </row>
    <row r="155" spans="1:8" x14ac:dyDescent="0.3">
      <c r="A155" s="24">
        <v>16</v>
      </c>
      <c r="B155" s="25" t="s">
        <v>62</v>
      </c>
      <c r="C155" s="160" t="s">
        <v>339</v>
      </c>
      <c r="D155" s="24">
        <v>2</v>
      </c>
      <c r="E155" s="24"/>
      <c r="F155" s="24">
        <f t="shared" si="4"/>
        <v>2</v>
      </c>
      <c r="G155" s="24" t="s">
        <v>32</v>
      </c>
    </row>
    <row r="156" spans="1:8" x14ac:dyDescent="0.3">
      <c r="A156" s="26">
        <v>16</v>
      </c>
      <c r="B156" s="27" t="s">
        <v>62</v>
      </c>
      <c r="C156" s="102" t="s">
        <v>168</v>
      </c>
      <c r="D156" s="26">
        <v>30</v>
      </c>
      <c r="E156" s="26">
        <v>18</v>
      </c>
      <c r="F156" s="26">
        <f>D156-E156</f>
        <v>12</v>
      </c>
      <c r="G156" s="26" t="s">
        <v>32</v>
      </c>
    </row>
    <row r="157" spans="1:8" x14ac:dyDescent="0.3">
      <c r="A157" s="28">
        <v>16</v>
      </c>
      <c r="B157" s="29" t="s">
        <v>62</v>
      </c>
      <c r="C157" s="156" t="s">
        <v>345</v>
      </c>
      <c r="D157" s="28">
        <v>8</v>
      </c>
      <c r="E157" s="28">
        <v>6</v>
      </c>
      <c r="F157" s="26">
        <f t="shared" si="4"/>
        <v>2</v>
      </c>
      <c r="G157" s="28" t="s">
        <v>32</v>
      </c>
    </row>
    <row r="158" spans="1:8" ht="18" x14ac:dyDescent="0.35">
      <c r="A158" s="74"/>
      <c r="B158" s="75" t="s">
        <v>25</v>
      </c>
      <c r="C158" s="75"/>
      <c r="D158" s="74"/>
      <c r="E158" s="74"/>
      <c r="F158" s="74"/>
      <c r="G158" s="74"/>
    </row>
    <row r="159" spans="1:8" x14ac:dyDescent="0.3">
      <c r="A159" s="28">
        <v>16</v>
      </c>
      <c r="B159" s="27" t="s">
        <v>25</v>
      </c>
      <c r="C159" s="161" t="s">
        <v>78</v>
      </c>
      <c r="D159" s="26">
        <v>2</v>
      </c>
      <c r="E159" s="26"/>
      <c r="F159" s="26">
        <f t="shared" si="4"/>
        <v>2</v>
      </c>
      <c r="G159" s="28" t="s">
        <v>32</v>
      </c>
    </row>
    <row r="160" spans="1:8" x14ac:dyDescent="0.3">
      <c r="A160" s="26">
        <v>16</v>
      </c>
      <c r="B160" s="27" t="s">
        <v>25</v>
      </c>
      <c r="C160" s="159" t="s">
        <v>76</v>
      </c>
      <c r="D160" s="26">
        <v>20</v>
      </c>
      <c r="E160" s="26">
        <v>20</v>
      </c>
      <c r="F160" s="26">
        <f>D160-E160</f>
        <v>0</v>
      </c>
      <c r="G160" s="26" t="s">
        <v>32</v>
      </c>
    </row>
    <row r="161" spans="1:7" x14ac:dyDescent="0.3">
      <c r="A161" s="26">
        <v>16</v>
      </c>
      <c r="B161" s="27" t="s">
        <v>25</v>
      </c>
      <c r="C161" s="159" t="s">
        <v>348</v>
      </c>
      <c r="D161" s="26">
        <v>4</v>
      </c>
      <c r="E161" s="26"/>
      <c r="F161" s="26">
        <f t="shared" si="4"/>
        <v>4</v>
      </c>
      <c r="G161" s="26" t="s">
        <v>103</v>
      </c>
    </row>
    <row r="162" spans="1:7" x14ac:dyDescent="0.3">
      <c r="A162" s="26">
        <v>16</v>
      </c>
      <c r="B162" s="27" t="s">
        <v>25</v>
      </c>
      <c r="C162" s="159" t="s">
        <v>247</v>
      </c>
      <c r="D162" s="26">
        <v>8</v>
      </c>
      <c r="E162" s="26">
        <v>8</v>
      </c>
      <c r="F162" s="26">
        <f t="shared" si="4"/>
        <v>0</v>
      </c>
      <c r="G162" s="26" t="s">
        <v>33</v>
      </c>
    </row>
    <row r="163" spans="1:7" ht="13.8" customHeight="1" x14ac:dyDescent="0.3">
      <c r="A163" s="26">
        <v>16</v>
      </c>
      <c r="B163" s="27" t="s">
        <v>25</v>
      </c>
      <c r="C163" s="159" t="s">
        <v>313</v>
      </c>
      <c r="D163" s="26">
        <v>4</v>
      </c>
      <c r="E163" s="26">
        <v>4</v>
      </c>
      <c r="F163" s="26">
        <f t="shared" si="4"/>
        <v>0</v>
      </c>
      <c r="G163" s="26" t="s">
        <v>33</v>
      </c>
    </row>
    <row r="164" spans="1:7" x14ac:dyDescent="0.3">
      <c r="A164" s="26">
        <v>16</v>
      </c>
      <c r="B164" s="27" t="s">
        <v>25</v>
      </c>
      <c r="C164" s="159" t="s">
        <v>260</v>
      </c>
      <c r="D164" s="26">
        <v>4</v>
      </c>
      <c r="E164" s="26"/>
      <c r="F164" s="26">
        <f t="shared" si="4"/>
        <v>4</v>
      </c>
      <c r="G164" s="26" t="s">
        <v>33</v>
      </c>
    </row>
    <row r="165" spans="1:7" x14ac:dyDescent="0.3">
      <c r="A165" s="26">
        <v>16</v>
      </c>
      <c r="B165" s="27" t="s">
        <v>25</v>
      </c>
      <c r="C165" s="159" t="s">
        <v>324</v>
      </c>
      <c r="D165" s="26">
        <v>6</v>
      </c>
      <c r="E165" s="26">
        <v>4</v>
      </c>
      <c r="F165" s="26">
        <f t="shared" si="4"/>
        <v>2</v>
      </c>
      <c r="G165" s="26" t="s">
        <v>32</v>
      </c>
    </row>
    <row r="166" spans="1:7" ht="18.600000000000001" thickBot="1" x14ac:dyDescent="0.4">
      <c r="A166" s="166"/>
      <c r="B166" s="167" t="s">
        <v>18</v>
      </c>
      <c r="C166" s="167"/>
      <c r="D166" s="168"/>
      <c r="E166" s="168"/>
      <c r="F166" s="168"/>
      <c r="G166" s="169"/>
    </row>
    <row r="167" spans="1:7" x14ac:dyDescent="0.3">
      <c r="A167" s="24">
        <v>16</v>
      </c>
      <c r="B167" s="23" t="s">
        <v>516</v>
      </c>
      <c r="C167" s="160" t="s">
        <v>513</v>
      </c>
      <c r="D167" s="22">
        <v>10</v>
      </c>
      <c r="E167" s="22">
        <v>10</v>
      </c>
      <c r="F167" s="24">
        <f t="shared" si="4"/>
        <v>0</v>
      </c>
      <c r="G167" s="24" t="s">
        <v>32</v>
      </c>
    </row>
    <row r="168" spans="1:7" x14ac:dyDescent="0.3">
      <c r="A168" s="28">
        <v>16</v>
      </c>
      <c r="B168" s="29" t="s">
        <v>19</v>
      </c>
      <c r="C168" s="161" t="s">
        <v>148</v>
      </c>
      <c r="D168" s="28">
        <v>6</v>
      </c>
      <c r="E168" s="28"/>
      <c r="F168" s="28">
        <f t="shared" si="4"/>
        <v>6</v>
      </c>
      <c r="G168" s="28" t="s">
        <v>32</v>
      </c>
    </row>
    <row r="169" spans="1:7" x14ac:dyDescent="0.3">
      <c r="A169" s="28">
        <v>16</v>
      </c>
      <c r="B169" s="29" t="s">
        <v>19</v>
      </c>
      <c r="C169" s="161" t="s">
        <v>421</v>
      </c>
      <c r="D169" s="28">
        <v>4</v>
      </c>
      <c r="E169" s="28">
        <v>4</v>
      </c>
      <c r="F169" s="28">
        <f t="shared" si="4"/>
        <v>0</v>
      </c>
      <c r="G169" s="28" t="s">
        <v>32</v>
      </c>
    </row>
    <row r="170" spans="1:7" x14ac:dyDescent="0.3">
      <c r="A170" s="28">
        <v>16</v>
      </c>
      <c r="B170" s="29" t="s">
        <v>427</v>
      </c>
      <c r="C170" s="161" t="s">
        <v>428</v>
      </c>
      <c r="D170" s="28">
        <v>4</v>
      </c>
      <c r="E170" s="28">
        <v>4</v>
      </c>
      <c r="F170" s="28">
        <f t="shared" si="4"/>
        <v>0</v>
      </c>
      <c r="G170" s="28" t="s">
        <v>32</v>
      </c>
    </row>
    <row r="171" spans="1:7" x14ac:dyDescent="0.3">
      <c r="A171" s="26">
        <v>16</v>
      </c>
      <c r="B171" s="27" t="s">
        <v>34</v>
      </c>
      <c r="C171" s="159" t="s">
        <v>342</v>
      </c>
      <c r="D171" s="26">
        <v>2</v>
      </c>
      <c r="E171" s="26">
        <v>2</v>
      </c>
      <c r="F171" s="26">
        <f t="shared" si="4"/>
        <v>0</v>
      </c>
      <c r="G171" s="26" t="s">
        <v>32</v>
      </c>
    </row>
    <row r="172" spans="1:7" ht="15" thickBot="1" x14ac:dyDescent="0.35">
      <c r="A172" s="32"/>
      <c r="B172" s="33"/>
      <c r="C172" s="4" t="s">
        <v>42</v>
      </c>
      <c r="D172" s="68">
        <f>SUM(D2:D171)</f>
        <v>2628</v>
      </c>
      <c r="E172" s="17">
        <f>SUM(E2:E171)</f>
        <v>2172</v>
      </c>
      <c r="F172" s="69">
        <f>SUM(F2:F171)</f>
        <v>464</v>
      </c>
      <c r="G172" s="31"/>
    </row>
    <row r="173" spans="1:7" x14ac:dyDescent="0.3">
      <c r="A173" s="32"/>
      <c r="B173" s="33"/>
      <c r="C173" s="4"/>
      <c r="D173" s="31"/>
      <c r="E173" s="31"/>
      <c r="F173" s="31"/>
      <c r="G173" s="31"/>
    </row>
  </sheetData>
  <sortState xmlns:xlrd2="http://schemas.microsoft.com/office/spreadsheetml/2017/richdata2" ref="A2:G92">
    <sortCondition ref="B2"/>
  </sortState>
  <pageMargins left="0.7" right="0.7" top="0.75" bottom="0.75" header="0.3" footer="0.3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1"/>
  <sheetViews>
    <sheetView topLeftCell="A67" zoomScale="130" zoomScaleNormal="130" zoomScaleSheetLayoutView="82" workbookViewId="0">
      <selection activeCell="F29" sqref="F29"/>
    </sheetView>
  </sheetViews>
  <sheetFormatPr defaultRowHeight="14.4" x14ac:dyDescent="0.3"/>
  <cols>
    <col min="1" max="1" width="4.88671875" customWidth="1"/>
    <col min="2" max="2" width="9.33203125" customWidth="1"/>
    <col min="3" max="3" width="36" customWidth="1"/>
    <col min="4" max="4" width="5.5546875" customWidth="1"/>
    <col min="5" max="5" width="6.33203125" customWidth="1"/>
    <col min="6" max="6" width="7" customWidth="1"/>
    <col min="7" max="7" width="15.5546875" customWidth="1"/>
  </cols>
  <sheetData>
    <row r="1" spans="1:9" ht="18.600000000000001" thickBo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9" ht="18.600000000000001" thickBot="1" x14ac:dyDescent="0.35">
      <c r="A2" s="34"/>
      <c r="B2" s="35" t="s">
        <v>22</v>
      </c>
      <c r="C2" s="35"/>
      <c r="D2" s="35"/>
      <c r="E2" s="35"/>
      <c r="F2" s="35"/>
      <c r="G2" s="36"/>
    </row>
    <row r="3" spans="1:9" x14ac:dyDescent="0.3">
      <c r="A3" s="24">
        <v>17</v>
      </c>
      <c r="B3" s="24" t="s">
        <v>22</v>
      </c>
      <c r="C3" s="157" t="s">
        <v>517</v>
      </c>
      <c r="D3" s="24">
        <v>4</v>
      </c>
      <c r="E3" s="24">
        <v>4</v>
      </c>
      <c r="F3" s="24">
        <f>D3-E3</f>
        <v>0</v>
      </c>
      <c r="G3" s="24" t="s">
        <v>32</v>
      </c>
    </row>
    <row r="4" spans="1:9" x14ac:dyDescent="0.3">
      <c r="A4" s="24">
        <v>17</v>
      </c>
      <c r="B4" s="24" t="s">
        <v>22</v>
      </c>
      <c r="C4" s="157" t="s">
        <v>298</v>
      </c>
      <c r="D4" s="24">
        <v>10</v>
      </c>
      <c r="E4" s="24">
        <v>6</v>
      </c>
      <c r="F4" s="24">
        <f>D4-E4</f>
        <v>4</v>
      </c>
      <c r="G4" s="24" t="s">
        <v>32</v>
      </c>
      <c r="H4" s="177">
        <v>2020</v>
      </c>
      <c r="I4" t="s">
        <v>511</v>
      </c>
    </row>
    <row r="5" spans="1:9" x14ac:dyDescent="0.3">
      <c r="A5" s="24">
        <v>17</v>
      </c>
      <c r="B5" s="24" t="s">
        <v>22</v>
      </c>
      <c r="C5" s="157" t="s">
        <v>519</v>
      </c>
      <c r="D5" s="24">
        <v>2</v>
      </c>
      <c r="E5" s="24">
        <v>2</v>
      </c>
      <c r="F5" s="24">
        <f>D5-E5</f>
        <v>0</v>
      </c>
      <c r="G5" s="24" t="s">
        <v>32</v>
      </c>
      <c r="H5" s="177"/>
    </row>
    <row r="6" spans="1:9" x14ac:dyDescent="0.3">
      <c r="A6" s="26">
        <v>17</v>
      </c>
      <c r="B6" s="26" t="s">
        <v>22</v>
      </c>
      <c r="C6" s="102" t="s">
        <v>400</v>
      </c>
      <c r="D6" s="26">
        <v>4</v>
      </c>
      <c r="E6" s="26"/>
      <c r="F6" s="26">
        <f t="shared" ref="F6:F60" si="0">D6-E6</f>
        <v>4</v>
      </c>
      <c r="G6" s="26" t="s">
        <v>32</v>
      </c>
      <c r="H6" s="177">
        <v>2020</v>
      </c>
    </row>
    <row r="7" spans="1:9" x14ac:dyDescent="0.3">
      <c r="A7" s="26">
        <v>17</v>
      </c>
      <c r="B7" s="26" t="s">
        <v>13</v>
      </c>
      <c r="C7" s="102" t="s">
        <v>312</v>
      </c>
      <c r="D7" s="26">
        <v>4</v>
      </c>
      <c r="E7" s="26">
        <v>4</v>
      </c>
      <c r="F7" s="26">
        <f t="shared" si="0"/>
        <v>0</v>
      </c>
      <c r="G7" s="26" t="s">
        <v>103</v>
      </c>
    </row>
    <row r="8" spans="1:9" x14ac:dyDescent="0.3">
      <c r="A8" s="28">
        <v>17</v>
      </c>
      <c r="B8" s="28" t="s">
        <v>13</v>
      </c>
      <c r="C8" s="156" t="s">
        <v>281</v>
      </c>
      <c r="D8" s="28">
        <v>2</v>
      </c>
      <c r="E8" s="28"/>
      <c r="F8" s="28">
        <f t="shared" si="0"/>
        <v>2</v>
      </c>
      <c r="G8" s="28" t="s">
        <v>32</v>
      </c>
    </row>
    <row r="9" spans="1:9" ht="18.600000000000001" thickBot="1" x14ac:dyDescent="0.35">
      <c r="A9" s="71"/>
      <c r="B9" s="53" t="s">
        <v>24</v>
      </c>
      <c r="C9" s="53"/>
      <c r="D9" s="53"/>
      <c r="E9" s="53"/>
      <c r="F9" s="53"/>
      <c r="G9" s="54"/>
    </row>
    <row r="10" spans="1:9" x14ac:dyDescent="0.3">
      <c r="A10" s="26">
        <v>17</v>
      </c>
      <c r="B10" s="26" t="s">
        <v>46</v>
      </c>
      <c r="C10" s="102" t="s">
        <v>217</v>
      </c>
      <c r="D10" s="26">
        <v>8</v>
      </c>
      <c r="E10" s="26">
        <v>4</v>
      </c>
      <c r="F10" s="26">
        <f t="shared" ref="F10:F12" si="1">D10-E10</f>
        <v>4</v>
      </c>
      <c r="G10" s="26" t="s">
        <v>103</v>
      </c>
    </row>
    <row r="11" spans="1:9" x14ac:dyDescent="0.3">
      <c r="A11" s="26">
        <v>17</v>
      </c>
      <c r="B11" s="26" t="s">
        <v>46</v>
      </c>
      <c r="C11" s="102" t="s">
        <v>224</v>
      </c>
      <c r="D11" s="26">
        <v>12</v>
      </c>
      <c r="E11" s="26">
        <v>12</v>
      </c>
      <c r="F11" s="26">
        <f t="shared" si="1"/>
        <v>0</v>
      </c>
      <c r="G11" s="26" t="s">
        <v>103</v>
      </c>
    </row>
    <row r="12" spans="1:9" x14ac:dyDescent="0.3">
      <c r="A12" s="26">
        <v>17</v>
      </c>
      <c r="B12" s="26" t="s">
        <v>46</v>
      </c>
      <c r="C12" s="102" t="s">
        <v>523</v>
      </c>
      <c r="D12" s="26">
        <v>4</v>
      </c>
      <c r="E12" s="26">
        <v>4</v>
      </c>
      <c r="F12" s="26">
        <f t="shared" si="1"/>
        <v>0</v>
      </c>
      <c r="G12" s="26" t="s">
        <v>32</v>
      </c>
    </row>
    <row r="13" spans="1:9" x14ac:dyDescent="0.3">
      <c r="A13" s="26">
        <v>17</v>
      </c>
      <c r="B13" s="26" t="s">
        <v>24</v>
      </c>
      <c r="C13" s="102" t="s">
        <v>226</v>
      </c>
      <c r="D13" s="26">
        <v>12</v>
      </c>
      <c r="E13" s="26">
        <v>8</v>
      </c>
      <c r="F13" s="26">
        <f t="shared" si="0"/>
        <v>4</v>
      </c>
      <c r="G13" s="26" t="s">
        <v>103</v>
      </c>
    </row>
    <row r="14" spans="1:9" x14ac:dyDescent="0.3">
      <c r="A14" s="26">
        <v>17</v>
      </c>
      <c r="B14" s="26" t="s">
        <v>24</v>
      </c>
      <c r="C14" s="102" t="s">
        <v>296</v>
      </c>
      <c r="D14" s="26">
        <v>8</v>
      </c>
      <c r="E14" s="26">
        <v>8</v>
      </c>
      <c r="F14" s="26">
        <f t="shared" si="0"/>
        <v>0</v>
      </c>
      <c r="G14" s="26" t="s">
        <v>103</v>
      </c>
    </row>
    <row r="15" spans="1:9" x14ac:dyDescent="0.3">
      <c r="A15" s="26">
        <v>17</v>
      </c>
      <c r="B15" s="26" t="s">
        <v>24</v>
      </c>
      <c r="C15" s="102" t="s">
        <v>504</v>
      </c>
      <c r="D15" s="26">
        <v>16</v>
      </c>
      <c r="E15" s="26">
        <v>16</v>
      </c>
      <c r="F15" s="26">
        <f>D15-E15</f>
        <v>0</v>
      </c>
      <c r="G15" s="26" t="s">
        <v>32</v>
      </c>
    </row>
    <row r="16" spans="1:9" x14ac:dyDescent="0.3">
      <c r="A16" s="26">
        <v>17</v>
      </c>
      <c r="B16" s="26" t="s">
        <v>24</v>
      </c>
      <c r="C16" s="102" t="s">
        <v>494</v>
      </c>
      <c r="D16" s="26">
        <v>10</v>
      </c>
      <c r="E16" s="26">
        <v>10</v>
      </c>
      <c r="F16" s="26">
        <f>D16-E16</f>
        <v>0</v>
      </c>
      <c r="G16" s="26" t="s">
        <v>32</v>
      </c>
    </row>
    <row r="17" spans="1:8" x14ac:dyDescent="0.3">
      <c r="A17" s="26">
        <v>17</v>
      </c>
      <c r="B17" s="26" t="s">
        <v>24</v>
      </c>
      <c r="C17" s="102" t="s">
        <v>524</v>
      </c>
      <c r="D17" s="26">
        <v>8</v>
      </c>
      <c r="E17" s="26">
        <v>8</v>
      </c>
      <c r="F17" s="26">
        <f>D17-E17</f>
        <v>0</v>
      </c>
      <c r="G17" s="26" t="s">
        <v>32</v>
      </c>
    </row>
    <row r="18" spans="1:8" ht="18.600000000000001" thickBot="1" x14ac:dyDescent="0.35">
      <c r="A18" s="52"/>
      <c r="B18" s="53" t="s">
        <v>23</v>
      </c>
      <c r="C18" s="53"/>
      <c r="D18" s="53"/>
      <c r="E18" s="53"/>
      <c r="F18" s="53"/>
      <c r="G18" s="54"/>
    </row>
    <row r="19" spans="1:8" x14ac:dyDescent="0.3">
      <c r="A19" s="24">
        <v>17</v>
      </c>
      <c r="B19" s="24" t="s">
        <v>23</v>
      </c>
      <c r="C19" s="157" t="s">
        <v>222</v>
      </c>
      <c r="D19" s="24">
        <v>4</v>
      </c>
      <c r="E19" s="24"/>
      <c r="F19" s="24">
        <f t="shared" si="0"/>
        <v>4</v>
      </c>
      <c r="G19" s="24" t="s">
        <v>103</v>
      </c>
    </row>
    <row r="20" spans="1:8" x14ac:dyDescent="0.3">
      <c r="A20" s="24">
        <v>17</v>
      </c>
      <c r="B20" s="24" t="s">
        <v>23</v>
      </c>
      <c r="C20" s="157" t="s">
        <v>333</v>
      </c>
      <c r="D20" s="24">
        <v>8</v>
      </c>
      <c r="E20" s="24">
        <v>8</v>
      </c>
      <c r="F20" s="24">
        <f t="shared" si="0"/>
        <v>0</v>
      </c>
      <c r="G20" s="24" t="s">
        <v>33</v>
      </c>
    </row>
    <row r="21" spans="1:8" x14ac:dyDescent="0.3">
      <c r="A21" s="24">
        <v>17</v>
      </c>
      <c r="B21" s="24" t="s">
        <v>23</v>
      </c>
      <c r="C21" s="157" t="s">
        <v>231</v>
      </c>
      <c r="D21" s="24">
        <v>28</v>
      </c>
      <c r="E21" s="24">
        <v>28</v>
      </c>
      <c r="F21" s="24">
        <f t="shared" si="0"/>
        <v>0</v>
      </c>
      <c r="G21" s="24" t="s">
        <v>103</v>
      </c>
    </row>
    <row r="22" spans="1:8" x14ac:dyDescent="0.3">
      <c r="A22" s="24">
        <v>17</v>
      </c>
      <c r="B22" s="24" t="s">
        <v>23</v>
      </c>
      <c r="C22" s="157" t="s">
        <v>232</v>
      </c>
      <c r="D22" s="24">
        <v>16</v>
      </c>
      <c r="E22" s="24">
        <v>12</v>
      </c>
      <c r="F22" s="24">
        <f t="shared" si="0"/>
        <v>4</v>
      </c>
      <c r="G22" s="24" t="s">
        <v>103</v>
      </c>
    </row>
    <row r="23" spans="1:8" x14ac:dyDescent="0.3">
      <c r="A23" s="24">
        <v>17</v>
      </c>
      <c r="B23" s="24" t="s">
        <v>23</v>
      </c>
      <c r="C23" s="157" t="s">
        <v>95</v>
      </c>
      <c r="D23" s="24">
        <v>2</v>
      </c>
      <c r="E23" s="24"/>
      <c r="F23" s="24">
        <f t="shared" si="0"/>
        <v>2</v>
      </c>
      <c r="G23" s="24" t="s">
        <v>32</v>
      </c>
    </row>
    <row r="24" spans="1:8" x14ac:dyDescent="0.3">
      <c r="A24" s="24">
        <v>17</v>
      </c>
      <c r="B24" s="24" t="s">
        <v>23</v>
      </c>
      <c r="C24" s="157" t="s">
        <v>458</v>
      </c>
      <c r="D24" s="24">
        <v>4</v>
      </c>
      <c r="E24" s="24"/>
      <c r="F24" s="24">
        <f t="shared" si="0"/>
        <v>4</v>
      </c>
      <c r="G24" s="24" t="s">
        <v>103</v>
      </c>
      <c r="H24">
        <v>2022</v>
      </c>
    </row>
    <row r="25" spans="1:8" x14ac:dyDescent="0.3">
      <c r="A25" s="26">
        <v>17</v>
      </c>
      <c r="B25" s="26" t="s">
        <v>23</v>
      </c>
      <c r="C25" s="102" t="s">
        <v>247</v>
      </c>
      <c r="D25" s="26">
        <v>8</v>
      </c>
      <c r="E25" s="26">
        <v>8</v>
      </c>
      <c r="F25" s="26">
        <f t="shared" si="0"/>
        <v>0</v>
      </c>
      <c r="G25" s="26" t="s">
        <v>103</v>
      </c>
    </row>
    <row r="26" spans="1:8" x14ac:dyDescent="0.3">
      <c r="A26" s="26">
        <v>17</v>
      </c>
      <c r="B26" s="26" t="s">
        <v>23</v>
      </c>
      <c r="C26" s="102" t="s">
        <v>133</v>
      </c>
      <c r="D26" s="26">
        <v>32</v>
      </c>
      <c r="E26" s="26">
        <v>28</v>
      </c>
      <c r="F26" s="26">
        <f t="shared" si="0"/>
        <v>4</v>
      </c>
      <c r="G26" s="26" t="s">
        <v>103</v>
      </c>
    </row>
    <row r="27" spans="1:8" x14ac:dyDescent="0.3">
      <c r="A27" s="26">
        <v>17</v>
      </c>
      <c r="B27" s="26" t="s">
        <v>23</v>
      </c>
      <c r="C27" s="102" t="s">
        <v>299</v>
      </c>
      <c r="D27" s="26">
        <v>12</v>
      </c>
      <c r="E27" s="26">
        <v>12</v>
      </c>
      <c r="F27" s="26">
        <f t="shared" si="0"/>
        <v>0</v>
      </c>
      <c r="G27" s="26" t="s">
        <v>103</v>
      </c>
    </row>
    <row r="28" spans="1:8" x14ac:dyDescent="0.3">
      <c r="A28" s="26">
        <v>17</v>
      </c>
      <c r="B28" s="26" t="s">
        <v>23</v>
      </c>
      <c r="C28" s="102" t="s">
        <v>260</v>
      </c>
      <c r="D28" s="26">
        <v>16</v>
      </c>
      <c r="E28" s="26">
        <v>8</v>
      </c>
      <c r="F28" s="26">
        <f t="shared" si="0"/>
        <v>8</v>
      </c>
      <c r="G28" s="26" t="s">
        <v>103</v>
      </c>
    </row>
    <row r="29" spans="1:8" x14ac:dyDescent="0.3">
      <c r="A29" s="26">
        <v>17</v>
      </c>
      <c r="B29" s="26" t="s">
        <v>23</v>
      </c>
      <c r="C29" s="102" t="s">
        <v>430</v>
      </c>
      <c r="D29" s="26">
        <v>4</v>
      </c>
      <c r="E29" s="26">
        <v>4</v>
      </c>
      <c r="F29" s="26">
        <f t="shared" si="0"/>
        <v>0</v>
      </c>
      <c r="G29" s="26" t="s">
        <v>32</v>
      </c>
    </row>
    <row r="30" spans="1:8" x14ac:dyDescent="0.3">
      <c r="A30" s="26">
        <v>17</v>
      </c>
      <c r="B30" s="26" t="s">
        <v>23</v>
      </c>
      <c r="C30" s="102" t="s">
        <v>509</v>
      </c>
      <c r="D30" s="26">
        <v>4</v>
      </c>
      <c r="E30" s="26"/>
      <c r="F30" s="26">
        <f t="shared" si="0"/>
        <v>4</v>
      </c>
      <c r="G30" s="26" t="s">
        <v>32</v>
      </c>
    </row>
    <row r="31" spans="1:8" x14ac:dyDescent="0.3">
      <c r="A31" s="26">
        <v>17</v>
      </c>
      <c r="B31" s="26" t="s">
        <v>23</v>
      </c>
      <c r="C31" s="102" t="s">
        <v>424</v>
      </c>
      <c r="D31" s="26">
        <v>4</v>
      </c>
      <c r="E31" s="26">
        <v>4</v>
      </c>
      <c r="F31" s="26">
        <f t="shared" si="0"/>
        <v>0</v>
      </c>
      <c r="G31" s="26" t="s">
        <v>32</v>
      </c>
      <c r="H31" s="177">
        <v>2018</v>
      </c>
    </row>
    <row r="32" spans="1:8" x14ac:dyDescent="0.3">
      <c r="A32" s="26">
        <v>17</v>
      </c>
      <c r="B32" s="26" t="s">
        <v>23</v>
      </c>
      <c r="C32" s="102" t="s">
        <v>422</v>
      </c>
      <c r="D32" s="26">
        <v>4</v>
      </c>
      <c r="E32" s="26">
        <v>4</v>
      </c>
      <c r="F32" s="26">
        <f t="shared" si="0"/>
        <v>0</v>
      </c>
      <c r="G32" s="26" t="s">
        <v>32</v>
      </c>
      <c r="H32" s="177">
        <v>2020</v>
      </c>
    </row>
    <row r="33" spans="1:8" x14ac:dyDescent="0.3">
      <c r="A33" s="26">
        <v>17</v>
      </c>
      <c r="B33" s="26" t="s">
        <v>23</v>
      </c>
      <c r="C33" s="102" t="s">
        <v>494</v>
      </c>
      <c r="D33" s="26">
        <v>4</v>
      </c>
      <c r="E33" s="26">
        <v>4</v>
      </c>
      <c r="F33" s="26">
        <f t="shared" si="0"/>
        <v>0</v>
      </c>
      <c r="G33" s="26" t="s">
        <v>32</v>
      </c>
      <c r="H33" s="177"/>
    </row>
    <row r="34" spans="1:8" x14ac:dyDescent="0.3">
      <c r="A34" s="26">
        <v>17</v>
      </c>
      <c r="B34" s="26" t="s">
        <v>23</v>
      </c>
      <c r="C34" s="102" t="s">
        <v>519</v>
      </c>
      <c r="D34" s="26">
        <v>2</v>
      </c>
      <c r="E34" s="26">
        <v>2</v>
      </c>
      <c r="F34" s="26">
        <f t="shared" si="0"/>
        <v>0</v>
      </c>
      <c r="G34" s="26" t="s">
        <v>32</v>
      </c>
      <c r="H34" s="177"/>
    </row>
    <row r="35" spans="1:8" x14ac:dyDescent="0.3">
      <c r="A35" s="26">
        <v>17</v>
      </c>
      <c r="B35" s="26" t="s">
        <v>23</v>
      </c>
      <c r="C35" s="102" t="s">
        <v>478</v>
      </c>
      <c r="D35" s="26">
        <v>20</v>
      </c>
      <c r="E35" s="26">
        <v>20</v>
      </c>
      <c r="F35" s="26">
        <f t="shared" si="0"/>
        <v>0</v>
      </c>
      <c r="G35" s="26" t="s">
        <v>103</v>
      </c>
      <c r="H35" s="177">
        <v>2021</v>
      </c>
    </row>
    <row r="36" spans="1:8" x14ac:dyDescent="0.3">
      <c r="A36" s="26">
        <v>17</v>
      </c>
      <c r="B36" s="26" t="s">
        <v>23</v>
      </c>
      <c r="C36" s="102" t="s">
        <v>523</v>
      </c>
      <c r="D36" s="26">
        <v>8</v>
      </c>
      <c r="E36" s="26">
        <v>8</v>
      </c>
      <c r="F36" s="26">
        <f t="shared" si="0"/>
        <v>0</v>
      </c>
      <c r="G36" s="26" t="s">
        <v>32</v>
      </c>
    </row>
    <row r="37" spans="1:8" x14ac:dyDescent="0.3">
      <c r="A37" s="26">
        <v>17</v>
      </c>
      <c r="B37" s="26" t="s">
        <v>23</v>
      </c>
      <c r="C37" s="102" t="s">
        <v>520</v>
      </c>
      <c r="D37" s="26">
        <v>18</v>
      </c>
      <c r="E37" s="26">
        <v>18</v>
      </c>
      <c r="F37" s="26">
        <f t="shared" si="0"/>
        <v>0</v>
      </c>
      <c r="G37" s="26" t="s">
        <v>32</v>
      </c>
    </row>
    <row r="38" spans="1:8" ht="18.600000000000001" thickBot="1" x14ac:dyDescent="0.35">
      <c r="A38" s="52"/>
      <c r="B38" s="53" t="s">
        <v>17</v>
      </c>
      <c r="C38" s="53"/>
      <c r="D38" s="53"/>
      <c r="E38" s="53"/>
      <c r="F38" s="53"/>
      <c r="G38" s="54"/>
    </row>
    <row r="39" spans="1:8" x14ac:dyDescent="0.3">
      <c r="A39" s="26">
        <v>17</v>
      </c>
      <c r="B39" s="26" t="s">
        <v>17</v>
      </c>
      <c r="C39" s="102" t="s">
        <v>131</v>
      </c>
      <c r="D39" s="26">
        <v>8</v>
      </c>
      <c r="E39" s="26">
        <v>4</v>
      </c>
      <c r="F39" s="26">
        <f t="shared" si="0"/>
        <v>4</v>
      </c>
      <c r="G39" s="26" t="s">
        <v>103</v>
      </c>
    </row>
    <row r="40" spans="1:8" x14ac:dyDescent="0.3">
      <c r="A40" s="26">
        <v>17</v>
      </c>
      <c r="B40" s="26" t="s">
        <v>17</v>
      </c>
      <c r="C40" s="102" t="s">
        <v>200</v>
      </c>
      <c r="D40" s="26">
        <v>10</v>
      </c>
      <c r="E40" s="26">
        <v>6</v>
      </c>
      <c r="F40" s="26">
        <f t="shared" si="0"/>
        <v>4</v>
      </c>
      <c r="G40" s="26" t="s">
        <v>103</v>
      </c>
    </row>
    <row r="41" spans="1:8" x14ac:dyDescent="0.3">
      <c r="A41" s="26">
        <v>17</v>
      </c>
      <c r="B41" s="26" t="s">
        <v>17</v>
      </c>
      <c r="C41" s="102" t="s">
        <v>147</v>
      </c>
      <c r="D41" s="26">
        <v>8</v>
      </c>
      <c r="E41" s="26"/>
      <c r="F41" s="26">
        <f t="shared" si="0"/>
        <v>8</v>
      </c>
      <c r="G41" s="26" t="s">
        <v>103</v>
      </c>
    </row>
    <row r="42" spans="1:8" x14ac:dyDescent="0.3">
      <c r="A42" s="26">
        <v>17</v>
      </c>
      <c r="B42" s="26" t="s">
        <v>17</v>
      </c>
      <c r="C42" s="102" t="s">
        <v>265</v>
      </c>
      <c r="D42" s="26">
        <v>4</v>
      </c>
      <c r="E42" s="26"/>
      <c r="F42" s="26">
        <f t="shared" si="0"/>
        <v>4</v>
      </c>
      <c r="G42" s="26" t="s">
        <v>32</v>
      </c>
    </row>
    <row r="43" spans="1:8" x14ac:dyDescent="0.3">
      <c r="A43" s="26">
        <v>17</v>
      </c>
      <c r="B43" s="26" t="s">
        <v>17</v>
      </c>
      <c r="C43" s="102" t="s">
        <v>254</v>
      </c>
      <c r="D43" s="26">
        <v>14</v>
      </c>
      <c r="E43" s="26">
        <v>2</v>
      </c>
      <c r="F43" s="26">
        <f t="shared" si="0"/>
        <v>12</v>
      </c>
      <c r="G43" s="26" t="s">
        <v>103</v>
      </c>
    </row>
    <row r="44" spans="1:8" x14ac:dyDescent="0.3">
      <c r="A44" s="26">
        <v>17</v>
      </c>
      <c r="B44" s="26" t="s">
        <v>17</v>
      </c>
      <c r="C44" s="102" t="s">
        <v>255</v>
      </c>
      <c r="D44" s="26">
        <v>10</v>
      </c>
      <c r="E44" s="26">
        <v>2</v>
      </c>
      <c r="F44" s="26">
        <f t="shared" si="0"/>
        <v>8</v>
      </c>
      <c r="G44" s="26" t="s">
        <v>103</v>
      </c>
    </row>
    <row r="45" spans="1:8" x14ac:dyDescent="0.3">
      <c r="A45" s="26">
        <v>17</v>
      </c>
      <c r="B45" s="26" t="s">
        <v>17</v>
      </c>
      <c r="C45" s="102" t="s">
        <v>334</v>
      </c>
      <c r="D45" s="26">
        <v>4</v>
      </c>
      <c r="E45" s="26"/>
      <c r="F45" s="26">
        <f t="shared" si="0"/>
        <v>4</v>
      </c>
      <c r="G45" s="26" t="s">
        <v>103</v>
      </c>
    </row>
    <row r="46" spans="1:8" x14ac:dyDescent="0.3">
      <c r="A46" s="26">
        <v>17</v>
      </c>
      <c r="B46" s="26" t="s">
        <v>17</v>
      </c>
      <c r="C46" s="102" t="s">
        <v>507</v>
      </c>
      <c r="D46" s="26">
        <v>6</v>
      </c>
      <c r="E46" s="26">
        <v>2</v>
      </c>
      <c r="F46" s="26">
        <f t="shared" si="0"/>
        <v>4</v>
      </c>
      <c r="G46" s="26" t="s">
        <v>50</v>
      </c>
    </row>
    <row r="47" spans="1:8" x14ac:dyDescent="0.3">
      <c r="A47" s="26">
        <v>17</v>
      </c>
      <c r="B47" s="26" t="s">
        <v>17</v>
      </c>
      <c r="C47" s="102" t="s">
        <v>282</v>
      </c>
      <c r="D47" s="26">
        <v>2</v>
      </c>
      <c r="E47" s="26"/>
      <c r="F47" s="26">
        <f t="shared" si="0"/>
        <v>2</v>
      </c>
      <c r="G47" s="26" t="s">
        <v>32</v>
      </c>
    </row>
    <row r="48" spans="1:8" x14ac:dyDescent="0.3">
      <c r="A48" s="28">
        <v>17</v>
      </c>
      <c r="B48" s="28" t="s">
        <v>17</v>
      </c>
      <c r="C48" s="156" t="s">
        <v>150</v>
      </c>
      <c r="D48" s="28">
        <v>12</v>
      </c>
      <c r="E48" s="28">
        <v>12</v>
      </c>
      <c r="F48" s="26">
        <f t="shared" si="0"/>
        <v>0</v>
      </c>
      <c r="G48" s="28" t="s">
        <v>32</v>
      </c>
      <c r="H48" t="s">
        <v>449</v>
      </c>
    </row>
    <row r="49" spans="1:8" x14ac:dyDescent="0.3">
      <c r="A49" s="28">
        <v>17</v>
      </c>
      <c r="B49" s="28" t="s">
        <v>63</v>
      </c>
      <c r="C49" s="156" t="s">
        <v>474</v>
      </c>
      <c r="D49" s="28">
        <v>2</v>
      </c>
      <c r="E49" s="28">
        <v>2</v>
      </c>
      <c r="F49" s="26">
        <f t="shared" si="0"/>
        <v>0</v>
      </c>
      <c r="G49" s="28" t="s">
        <v>103</v>
      </c>
    </row>
    <row r="50" spans="1:8" x14ac:dyDescent="0.3">
      <c r="A50" s="28">
        <v>17</v>
      </c>
      <c r="B50" s="28" t="s">
        <v>63</v>
      </c>
      <c r="C50" s="156" t="s">
        <v>92</v>
      </c>
      <c r="D50" s="28">
        <v>4</v>
      </c>
      <c r="E50" s="28"/>
      <c r="F50" s="28">
        <f t="shared" si="0"/>
        <v>4</v>
      </c>
      <c r="G50" s="28" t="s">
        <v>103</v>
      </c>
    </row>
    <row r="51" spans="1:8" x14ac:dyDescent="0.3">
      <c r="A51" s="28">
        <v>17</v>
      </c>
      <c r="B51" s="28" t="s">
        <v>63</v>
      </c>
      <c r="C51" s="156" t="s">
        <v>140</v>
      </c>
      <c r="D51" s="28">
        <v>12</v>
      </c>
      <c r="E51" s="28">
        <v>4</v>
      </c>
      <c r="F51" s="28">
        <f t="shared" si="0"/>
        <v>8</v>
      </c>
      <c r="G51" s="28" t="s">
        <v>32</v>
      </c>
    </row>
    <row r="52" spans="1:8" ht="18.600000000000001" thickBot="1" x14ac:dyDescent="0.35">
      <c r="A52" s="52"/>
      <c r="B52" s="53" t="s">
        <v>21</v>
      </c>
      <c r="C52" s="53"/>
      <c r="D52" s="53"/>
      <c r="E52" s="53"/>
      <c r="F52" s="53"/>
      <c r="G52" s="54"/>
    </row>
    <row r="53" spans="1:8" x14ac:dyDescent="0.3">
      <c r="A53" s="26">
        <v>17</v>
      </c>
      <c r="B53" s="26" t="s">
        <v>21</v>
      </c>
      <c r="C53" s="102" t="s">
        <v>221</v>
      </c>
      <c r="D53" s="26">
        <v>4</v>
      </c>
      <c r="E53" s="26">
        <v>4</v>
      </c>
      <c r="F53" s="26">
        <f t="shared" si="0"/>
        <v>0</v>
      </c>
      <c r="G53" s="26" t="s">
        <v>103</v>
      </c>
    </row>
    <row r="54" spans="1:8" x14ac:dyDescent="0.3">
      <c r="A54" s="26">
        <v>17</v>
      </c>
      <c r="B54" s="26" t="s">
        <v>21</v>
      </c>
      <c r="C54" s="102" t="s">
        <v>260</v>
      </c>
      <c r="D54" s="26">
        <v>6</v>
      </c>
      <c r="E54" s="26">
        <v>6</v>
      </c>
      <c r="F54" s="26">
        <f t="shared" si="0"/>
        <v>0</v>
      </c>
      <c r="G54" s="26" t="s">
        <v>103</v>
      </c>
    </row>
    <row r="55" spans="1:8" x14ac:dyDescent="0.3">
      <c r="A55" s="26">
        <v>17</v>
      </c>
      <c r="B55" s="26" t="s">
        <v>21</v>
      </c>
      <c r="C55" s="102" t="s">
        <v>532</v>
      </c>
      <c r="D55" s="26">
        <v>16</v>
      </c>
      <c r="E55" s="26">
        <v>12</v>
      </c>
      <c r="F55" s="26">
        <f t="shared" si="0"/>
        <v>4</v>
      </c>
      <c r="G55" s="26" t="s">
        <v>32</v>
      </c>
      <c r="H55" s="177">
        <v>2025</v>
      </c>
    </row>
    <row r="56" spans="1:8" x14ac:dyDescent="0.3">
      <c r="A56" s="26">
        <v>17</v>
      </c>
      <c r="B56" s="26" t="s">
        <v>21</v>
      </c>
      <c r="C56" s="102" t="s">
        <v>524</v>
      </c>
      <c r="D56" s="26">
        <v>8</v>
      </c>
      <c r="E56" s="26">
        <v>8</v>
      </c>
      <c r="F56" s="26">
        <f t="shared" si="0"/>
        <v>0</v>
      </c>
      <c r="G56" s="26" t="s">
        <v>32</v>
      </c>
      <c r="H56" s="177"/>
    </row>
    <row r="57" spans="1:8" x14ac:dyDescent="0.3">
      <c r="A57" s="26">
        <v>17</v>
      </c>
      <c r="B57" s="26" t="s">
        <v>21</v>
      </c>
      <c r="C57" s="102" t="s">
        <v>429</v>
      </c>
      <c r="D57" s="26">
        <v>4</v>
      </c>
      <c r="E57" s="26">
        <v>4</v>
      </c>
      <c r="F57" s="26">
        <f t="shared" si="0"/>
        <v>0</v>
      </c>
      <c r="G57" s="26" t="s">
        <v>32</v>
      </c>
      <c r="H57" s="177">
        <v>2020</v>
      </c>
    </row>
    <row r="58" spans="1:8" x14ac:dyDescent="0.3">
      <c r="A58" s="26">
        <v>17</v>
      </c>
      <c r="B58" s="26" t="s">
        <v>21</v>
      </c>
      <c r="C58" s="102" t="s">
        <v>431</v>
      </c>
      <c r="D58" s="26">
        <v>12</v>
      </c>
      <c r="E58" s="26">
        <v>12</v>
      </c>
      <c r="F58" s="26">
        <f t="shared" si="0"/>
        <v>0</v>
      </c>
      <c r="G58" s="26" t="s">
        <v>32</v>
      </c>
      <c r="H58" s="177">
        <v>2024</v>
      </c>
    </row>
    <row r="59" spans="1:8" ht="18" x14ac:dyDescent="0.3">
      <c r="A59" s="78"/>
      <c r="B59" s="77" t="s">
        <v>12</v>
      </c>
      <c r="C59" s="77"/>
      <c r="D59" s="77"/>
      <c r="E59" s="77"/>
      <c r="F59" s="77"/>
      <c r="G59" s="147"/>
    </row>
    <row r="60" spans="1:8" x14ac:dyDescent="0.3">
      <c r="A60" s="26">
        <v>17</v>
      </c>
      <c r="B60" s="26" t="s">
        <v>12</v>
      </c>
      <c r="C60" s="102" t="s">
        <v>95</v>
      </c>
      <c r="D60" s="26">
        <v>8</v>
      </c>
      <c r="E60" s="26">
        <v>8</v>
      </c>
      <c r="F60" s="26">
        <f t="shared" si="0"/>
        <v>0</v>
      </c>
      <c r="G60" s="26" t="s">
        <v>32</v>
      </c>
    </row>
    <row r="61" spans="1:8" x14ac:dyDescent="0.3">
      <c r="A61" s="26">
        <v>17</v>
      </c>
      <c r="B61" s="26" t="s">
        <v>12</v>
      </c>
      <c r="C61" s="102" t="s">
        <v>455</v>
      </c>
      <c r="D61" s="26">
        <v>2</v>
      </c>
      <c r="E61" s="26"/>
      <c r="F61" s="26">
        <f t="shared" ref="F61:F129" si="2">D61-E61</f>
        <v>2</v>
      </c>
      <c r="G61" s="26" t="s">
        <v>103</v>
      </c>
    </row>
    <row r="62" spans="1:8" x14ac:dyDescent="0.3">
      <c r="A62" s="26">
        <v>17</v>
      </c>
      <c r="B62" s="26" t="s">
        <v>12</v>
      </c>
      <c r="C62" s="102" t="s">
        <v>130</v>
      </c>
      <c r="D62" s="26">
        <v>20</v>
      </c>
      <c r="E62" s="26">
        <v>20</v>
      </c>
      <c r="F62" s="26">
        <f t="shared" si="2"/>
        <v>0</v>
      </c>
      <c r="G62" s="26" t="s">
        <v>103</v>
      </c>
    </row>
    <row r="63" spans="1:8" x14ac:dyDescent="0.3">
      <c r="A63" s="26">
        <v>17</v>
      </c>
      <c r="B63" s="26" t="s">
        <v>12</v>
      </c>
      <c r="C63" s="102" t="s">
        <v>258</v>
      </c>
      <c r="D63" s="26">
        <v>20</v>
      </c>
      <c r="E63" s="26">
        <v>20</v>
      </c>
      <c r="F63" s="26">
        <f t="shared" si="2"/>
        <v>0</v>
      </c>
      <c r="G63" s="26" t="s">
        <v>103</v>
      </c>
    </row>
    <row r="64" spans="1:8" x14ac:dyDescent="0.3">
      <c r="A64" s="26">
        <v>17</v>
      </c>
      <c r="B64" s="26" t="s">
        <v>12</v>
      </c>
      <c r="C64" s="102" t="s">
        <v>531</v>
      </c>
      <c r="D64" s="26">
        <v>20</v>
      </c>
      <c r="E64" s="26">
        <v>4</v>
      </c>
      <c r="F64" s="26">
        <f t="shared" si="2"/>
        <v>16</v>
      </c>
      <c r="G64" s="26" t="s">
        <v>32</v>
      </c>
    </row>
    <row r="65" spans="1:9" x14ac:dyDescent="0.3">
      <c r="A65" s="26">
        <v>17</v>
      </c>
      <c r="B65" s="26" t="s">
        <v>12</v>
      </c>
      <c r="C65" s="102" t="s">
        <v>433</v>
      </c>
      <c r="D65" s="26">
        <v>8</v>
      </c>
      <c r="E65" s="26">
        <v>8</v>
      </c>
      <c r="F65" s="26">
        <f>D65-E65</f>
        <v>0</v>
      </c>
      <c r="G65" s="26" t="s">
        <v>32</v>
      </c>
      <c r="H65" s="177"/>
    </row>
    <row r="66" spans="1:9" x14ac:dyDescent="0.3">
      <c r="A66" s="26">
        <v>17</v>
      </c>
      <c r="B66" s="26" t="s">
        <v>12</v>
      </c>
      <c r="C66" s="102" t="s">
        <v>432</v>
      </c>
      <c r="D66" s="26">
        <v>8</v>
      </c>
      <c r="E66" s="26">
        <v>8</v>
      </c>
      <c r="F66" s="26">
        <f>D66-E66</f>
        <v>0</v>
      </c>
      <c r="G66" s="26" t="s">
        <v>32</v>
      </c>
      <c r="H66" s="177"/>
    </row>
    <row r="67" spans="1:9" ht="18.600000000000001" thickBot="1" x14ac:dyDescent="0.35">
      <c r="A67" s="52"/>
      <c r="B67" s="53" t="s">
        <v>25</v>
      </c>
      <c r="C67" s="53"/>
      <c r="D67" s="53"/>
      <c r="E67" s="53"/>
      <c r="F67" s="53"/>
      <c r="G67" s="54"/>
    </row>
    <row r="68" spans="1:9" x14ac:dyDescent="0.3">
      <c r="A68" s="24">
        <v>17</v>
      </c>
      <c r="B68" s="24" t="s">
        <v>25</v>
      </c>
      <c r="C68" s="157" t="s">
        <v>306</v>
      </c>
      <c r="D68" s="24">
        <v>8</v>
      </c>
      <c r="E68" s="24">
        <v>4</v>
      </c>
      <c r="F68" s="24">
        <f t="shared" si="2"/>
        <v>4</v>
      </c>
      <c r="G68" s="24" t="s">
        <v>103</v>
      </c>
    </row>
    <row r="69" spans="1:9" x14ac:dyDescent="0.3">
      <c r="A69" s="24">
        <v>17</v>
      </c>
      <c r="B69" s="24" t="s">
        <v>25</v>
      </c>
      <c r="C69" s="157" t="s">
        <v>354</v>
      </c>
      <c r="D69" s="24">
        <v>4</v>
      </c>
      <c r="E69" s="24">
        <v>4</v>
      </c>
      <c r="F69" s="24">
        <f t="shared" si="2"/>
        <v>0</v>
      </c>
      <c r="G69" s="24" t="s">
        <v>103</v>
      </c>
    </row>
    <row r="70" spans="1:9" x14ac:dyDescent="0.3">
      <c r="A70" s="26">
        <v>17</v>
      </c>
      <c r="B70" s="26" t="s">
        <v>25</v>
      </c>
      <c r="C70" s="102" t="s">
        <v>95</v>
      </c>
      <c r="D70" s="26">
        <v>20</v>
      </c>
      <c r="E70" s="26">
        <v>20</v>
      </c>
      <c r="F70" s="26">
        <f t="shared" si="2"/>
        <v>0</v>
      </c>
      <c r="G70" s="26" t="s">
        <v>50</v>
      </c>
    </row>
    <row r="71" spans="1:9" x14ac:dyDescent="0.3">
      <c r="A71" s="26">
        <v>17</v>
      </c>
      <c r="B71" s="26" t="s">
        <v>25</v>
      </c>
      <c r="C71" s="102" t="s">
        <v>76</v>
      </c>
      <c r="D71" s="26">
        <v>28</v>
      </c>
      <c r="E71" s="26">
        <v>28</v>
      </c>
      <c r="F71" s="26">
        <f t="shared" si="2"/>
        <v>0</v>
      </c>
      <c r="G71" s="26" t="s">
        <v>32</v>
      </c>
      <c r="H71" t="s">
        <v>360</v>
      </c>
    </row>
    <row r="72" spans="1:9" x14ac:dyDescent="0.3">
      <c r="A72" s="26">
        <v>17</v>
      </c>
      <c r="B72" s="26" t="s">
        <v>25</v>
      </c>
      <c r="C72" s="102" t="s">
        <v>123</v>
      </c>
      <c r="D72" s="26">
        <v>18</v>
      </c>
      <c r="E72" s="26">
        <v>18</v>
      </c>
      <c r="F72" s="26">
        <f t="shared" si="2"/>
        <v>0</v>
      </c>
      <c r="G72" s="26" t="s">
        <v>253</v>
      </c>
      <c r="H72" t="s">
        <v>454</v>
      </c>
      <c r="I72" t="s">
        <v>453</v>
      </c>
    </row>
    <row r="73" spans="1:9" x14ac:dyDescent="0.3">
      <c r="A73" s="26">
        <v>17</v>
      </c>
      <c r="B73" s="26" t="s">
        <v>25</v>
      </c>
      <c r="C73" s="102" t="s">
        <v>56</v>
      </c>
      <c r="D73" s="26">
        <v>12</v>
      </c>
      <c r="E73" s="26">
        <v>4</v>
      </c>
      <c r="F73" s="24">
        <f t="shared" si="2"/>
        <v>8</v>
      </c>
      <c r="G73" s="26" t="s">
        <v>103</v>
      </c>
    </row>
    <row r="74" spans="1:9" x14ac:dyDescent="0.3">
      <c r="A74" s="26">
        <v>17</v>
      </c>
      <c r="B74" s="26" t="s">
        <v>25</v>
      </c>
      <c r="C74" s="102" t="s">
        <v>209</v>
      </c>
      <c r="D74" s="26">
        <v>4</v>
      </c>
      <c r="E74" s="26"/>
      <c r="F74" s="24">
        <f t="shared" si="2"/>
        <v>4</v>
      </c>
      <c r="G74" s="26" t="s">
        <v>103</v>
      </c>
    </row>
    <row r="75" spans="1:9" x14ac:dyDescent="0.3">
      <c r="A75" s="26">
        <v>17</v>
      </c>
      <c r="B75" s="26" t="s">
        <v>25</v>
      </c>
      <c r="C75" s="102" t="s">
        <v>460</v>
      </c>
      <c r="D75" s="26">
        <v>4</v>
      </c>
      <c r="E75" s="26">
        <v>4</v>
      </c>
      <c r="F75" s="24">
        <f t="shared" si="2"/>
        <v>0</v>
      </c>
      <c r="G75" s="26" t="s">
        <v>103</v>
      </c>
    </row>
    <row r="76" spans="1:9" x14ac:dyDescent="0.3">
      <c r="A76" s="26">
        <v>17</v>
      </c>
      <c r="B76" s="26" t="s">
        <v>25</v>
      </c>
      <c r="C76" s="102" t="s">
        <v>232</v>
      </c>
      <c r="D76" s="26">
        <v>14</v>
      </c>
      <c r="E76" s="26">
        <v>14</v>
      </c>
      <c r="F76" s="24">
        <f t="shared" si="2"/>
        <v>0</v>
      </c>
      <c r="G76" s="26" t="s">
        <v>103</v>
      </c>
    </row>
    <row r="77" spans="1:9" x14ac:dyDescent="0.3">
      <c r="A77" s="26">
        <v>17</v>
      </c>
      <c r="B77" s="26" t="s">
        <v>25</v>
      </c>
      <c r="C77" s="102" t="s">
        <v>305</v>
      </c>
      <c r="D77" s="26">
        <v>4</v>
      </c>
      <c r="E77" s="26"/>
      <c r="F77" s="26">
        <f t="shared" si="2"/>
        <v>4</v>
      </c>
      <c r="G77" s="26" t="s">
        <v>103</v>
      </c>
    </row>
    <row r="78" spans="1:9" x14ac:dyDescent="0.3">
      <c r="A78" s="26">
        <v>17</v>
      </c>
      <c r="B78" s="26" t="s">
        <v>25</v>
      </c>
      <c r="C78" s="102" t="s">
        <v>144</v>
      </c>
      <c r="D78" s="26">
        <v>4</v>
      </c>
      <c r="E78" s="26">
        <v>4</v>
      </c>
      <c r="F78" s="26">
        <f t="shared" si="2"/>
        <v>0</v>
      </c>
      <c r="G78" s="26" t="s">
        <v>32</v>
      </c>
    </row>
    <row r="79" spans="1:9" x14ac:dyDescent="0.3">
      <c r="A79" s="26">
        <v>17</v>
      </c>
      <c r="B79" s="26" t="s">
        <v>25</v>
      </c>
      <c r="C79" s="102" t="s">
        <v>261</v>
      </c>
      <c r="D79" s="26">
        <v>8</v>
      </c>
      <c r="E79" s="26">
        <v>4</v>
      </c>
      <c r="F79" s="26">
        <f t="shared" si="2"/>
        <v>4</v>
      </c>
      <c r="G79" s="26" t="s">
        <v>103</v>
      </c>
    </row>
    <row r="80" spans="1:9" x14ac:dyDescent="0.3">
      <c r="A80" s="26">
        <v>17</v>
      </c>
      <c r="B80" s="26" t="s">
        <v>25</v>
      </c>
      <c r="C80" s="102" t="s">
        <v>302</v>
      </c>
      <c r="D80" s="26">
        <v>4</v>
      </c>
      <c r="E80" s="26"/>
      <c r="F80" s="26">
        <f t="shared" si="2"/>
        <v>4</v>
      </c>
      <c r="G80" s="26" t="s">
        <v>103</v>
      </c>
      <c r="H80" s="177">
        <v>2019</v>
      </c>
    </row>
    <row r="81" spans="1:8" x14ac:dyDescent="0.3">
      <c r="A81" s="26">
        <v>17</v>
      </c>
      <c r="B81" s="26" t="s">
        <v>25</v>
      </c>
      <c r="C81" s="102" t="s">
        <v>307</v>
      </c>
      <c r="D81" s="26">
        <v>4</v>
      </c>
      <c r="E81" s="26"/>
      <c r="F81" s="26">
        <f t="shared" si="2"/>
        <v>4</v>
      </c>
      <c r="G81" s="26" t="s">
        <v>103</v>
      </c>
    </row>
    <row r="82" spans="1:8" x14ac:dyDescent="0.3">
      <c r="A82" s="26">
        <v>17</v>
      </c>
      <c r="B82" s="26" t="s">
        <v>25</v>
      </c>
      <c r="C82" s="102" t="s">
        <v>171</v>
      </c>
      <c r="D82" s="26">
        <v>2</v>
      </c>
      <c r="E82" s="26">
        <v>2</v>
      </c>
      <c r="F82" s="26">
        <f t="shared" si="2"/>
        <v>0</v>
      </c>
      <c r="G82" s="26" t="s">
        <v>103</v>
      </c>
    </row>
    <row r="83" spans="1:8" x14ac:dyDescent="0.3">
      <c r="A83" s="26">
        <v>17</v>
      </c>
      <c r="B83" s="26" t="s">
        <v>25</v>
      </c>
      <c r="C83" s="102" t="s">
        <v>221</v>
      </c>
      <c r="D83" s="26">
        <v>4</v>
      </c>
      <c r="E83" s="26"/>
      <c r="F83" s="26">
        <f t="shared" si="2"/>
        <v>4</v>
      </c>
      <c r="G83" s="26" t="s">
        <v>103</v>
      </c>
    </row>
    <row r="84" spans="1:8" x14ac:dyDescent="0.3">
      <c r="A84" s="26">
        <v>17</v>
      </c>
      <c r="B84" s="26" t="s">
        <v>25</v>
      </c>
      <c r="C84" s="102" t="s">
        <v>532</v>
      </c>
      <c r="D84" s="26">
        <v>4</v>
      </c>
      <c r="E84" s="26">
        <v>4</v>
      </c>
      <c r="F84" s="26">
        <f t="shared" si="2"/>
        <v>0</v>
      </c>
      <c r="G84" s="26" t="s">
        <v>32</v>
      </c>
    </row>
    <row r="85" spans="1:8" x14ac:dyDescent="0.3">
      <c r="A85" s="26">
        <v>17</v>
      </c>
      <c r="B85" s="26" t="s">
        <v>25</v>
      </c>
      <c r="C85" s="102" t="s">
        <v>433</v>
      </c>
      <c r="D85" s="26">
        <v>16</v>
      </c>
      <c r="E85" s="26">
        <v>8</v>
      </c>
      <c r="F85" s="26">
        <f t="shared" si="2"/>
        <v>8</v>
      </c>
      <c r="G85" s="26" t="s">
        <v>32</v>
      </c>
    </row>
    <row r="86" spans="1:8" ht="18.600000000000001" thickBot="1" x14ac:dyDescent="0.35">
      <c r="A86" s="52"/>
      <c r="B86" s="53" t="s">
        <v>26</v>
      </c>
      <c r="C86" s="53"/>
      <c r="D86" s="53"/>
      <c r="E86" s="53"/>
      <c r="F86" s="53"/>
      <c r="G86" s="54"/>
    </row>
    <row r="87" spans="1:8" x14ac:dyDescent="0.3">
      <c r="A87" s="37">
        <v>17</v>
      </c>
      <c r="B87" s="37" t="s">
        <v>26</v>
      </c>
      <c r="C87" s="157" t="s">
        <v>193</v>
      </c>
      <c r="D87" s="37">
        <v>4</v>
      </c>
      <c r="E87" s="37"/>
      <c r="F87" s="37">
        <f t="shared" ref="F87:F89" si="3">D87-E87</f>
        <v>4</v>
      </c>
      <c r="G87" s="37" t="s">
        <v>32</v>
      </c>
    </row>
    <row r="88" spans="1:8" x14ac:dyDescent="0.3">
      <c r="A88" s="37">
        <v>17</v>
      </c>
      <c r="B88" s="37" t="s">
        <v>26</v>
      </c>
      <c r="C88" s="157" t="s">
        <v>244</v>
      </c>
      <c r="D88" s="37">
        <v>2</v>
      </c>
      <c r="E88" s="37">
        <v>2</v>
      </c>
      <c r="F88" s="37">
        <f t="shared" si="3"/>
        <v>0</v>
      </c>
      <c r="G88" s="37" t="s">
        <v>32</v>
      </c>
    </row>
    <row r="89" spans="1:8" x14ac:dyDescent="0.3">
      <c r="A89" s="30">
        <v>17</v>
      </c>
      <c r="B89" s="30" t="s">
        <v>26</v>
      </c>
      <c r="C89" s="102" t="s">
        <v>126</v>
      </c>
      <c r="D89" s="30">
        <v>8</v>
      </c>
      <c r="E89" s="30">
        <v>4</v>
      </c>
      <c r="F89" s="30">
        <f t="shared" si="3"/>
        <v>4</v>
      </c>
      <c r="G89" s="30" t="s">
        <v>32</v>
      </c>
    </row>
    <row r="90" spans="1:8" x14ac:dyDescent="0.3">
      <c r="A90" s="24">
        <v>17</v>
      </c>
      <c r="B90" s="24" t="s">
        <v>26</v>
      </c>
      <c r="C90" s="157" t="s">
        <v>86</v>
      </c>
      <c r="D90" s="24">
        <v>40</v>
      </c>
      <c r="E90" s="24">
        <v>32</v>
      </c>
      <c r="F90" s="24">
        <f t="shared" si="2"/>
        <v>8</v>
      </c>
      <c r="G90" s="24" t="s">
        <v>32</v>
      </c>
      <c r="H90" t="s">
        <v>322</v>
      </c>
    </row>
    <row r="91" spans="1:8" x14ac:dyDescent="0.3">
      <c r="A91" s="24">
        <v>17</v>
      </c>
      <c r="B91" s="24" t="s">
        <v>26</v>
      </c>
      <c r="C91" s="157" t="s">
        <v>298</v>
      </c>
      <c r="D91" s="24">
        <v>10</v>
      </c>
      <c r="E91" s="24"/>
      <c r="F91" s="24">
        <f t="shared" si="2"/>
        <v>10</v>
      </c>
      <c r="G91" s="24" t="s">
        <v>32</v>
      </c>
      <c r="H91" s="177" t="s">
        <v>425</v>
      </c>
    </row>
    <row r="92" spans="1:8" x14ac:dyDescent="0.3">
      <c r="A92" s="24">
        <v>17</v>
      </c>
      <c r="B92" s="24" t="s">
        <v>26</v>
      </c>
      <c r="C92" s="157" t="s">
        <v>79</v>
      </c>
      <c r="D92" s="24">
        <v>2</v>
      </c>
      <c r="E92" s="24"/>
      <c r="F92" s="24">
        <f t="shared" si="2"/>
        <v>2</v>
      </c>
      <c r="G92" s="24" t="s">
        <v>103</v>
      </c>
    </row>
    <row r="93" spans="1:8" x14ac:dyDescent="0.3">
      <c r="A93" s="24">
        <v>17</v>
      </c>
      <c r="B93" s="24" t="s">
        <v>26</v>
      </c>
      <c r="C93" s="157" t="s">
        <v>399</v>
      </c>
      <c r="D93" s="24">
        <v>4</v>
      </c>
      <c r="E93" s="24">
        <v>4</v>
      </c>
      <c r="F93" s="24">
        <f t="shared" si="2"/>
        <v>0</v>
      </c>
      <c r="G93" s="24" t="s">
        <v>103</v>
      </c>
    </row>
    <row r="94" spans="1:8" x14ac:dyDescent="0.3">
      <c r="A94" s="24">
        <v>17</v>
      </c>
      <c r="B94" s="24" t="s">
        <v>26</v>
      </c>
      <c r="C94" s="157" t="s">
        <v>109</v>
      </c>
      <c r="D94" s="24">
        <v>2</v>
      </c>
      <c r="E94" s="24"/>
      <c r="F94" s="24">
        <f t="shared" si="2"/>
        <v>2</v>
      </c>
      <c r="G94" s="24" t="s">
        <v>103</v>
      </c>
    </row>
    <row r="95" spans="1:8" x14ac:dyDescent="0.3">
      <c r="A95" s="26">
        <v>17</v>
      </c>
      <c r="B95" s="26" t="s">
        <v>26</v>
      </c>
      <c r="C95" s="102" t="s">
        <v>64</v>
      </c>
      <c r="D95" s="26">
        <v>16</v>
      </c>
      <c r="E95" s="26">
        <v>10</v>
      </c>
      <c r="F95" s="26">
        <f>D95-E100</f>
        <v>12</v>
      </c>
      <c r="G95" s="26" t="s">
        <v>32</v>
      </c>
    </row>
    <row r="96" spans="1:8" x14ac:dyDescent="0.3">
      <c r="A96" s="28">
        <v>17</v>
      </c>
      <c r="B96" s="28" t="s">
        <v>26</v>
      </c>
      <c r="C96" s="156" t="s">
        <v>113</v>
      </c>
      <c r="D96" s="28">
        <v>4</v>
      </c>
      <c r="E96" s="28"/>
      <c r="F96" s="26">
        <f t="shared" si="2"/>
        <v>4</v>
      </c>
      <c r="G96" s="28" t="s">
        <v>103</v>
      </c>
      <c r="H96" s="177">
        <v>2017</v>
      </c>
    </row>
    <row r="97" spans="1:8" x14ac:dyDescent="0.3">
      <c r="A97" s="28">
        <v>17</v>
      </c>
      <c r="B97" s="28" t="s">
        <v>26</v>
      </c>
      <c r="C97" s="156" t="s">
        <v>85</v>
      </c>
      <c r="D97" s="28">
        <v>4</v>
      </c>
      <c r="E97" s="28"/>
      <c r="F97" s="28">
        <f t="shared" si="2"/>
        <v>4</v>
      </c>
      <c r="G97" s="28" t="s">
        <v>32</v>
      </c>
      <c r="H97" s="177"/>
    </row>
    <row r="98" spans="1:8" x14ac:dyDescent="0.3">
      <c r="A98" s="28">
        <v>17</v>
      </c>
      <c r="B98" s="28" t="s">
        <v>26</v>
      </c>
      <c r="C98" s="156" t="s">
        <v>320</v>
      </c>
      <c r="D98" s="28">
        <v>4</v>
      </c>
      <c r="E98" s="28"/>
      <c r="F98" s="28">
        <f t="shared" si="2"/>
        <v>4</v>
      </c>
      <c r="G98" s="28" t="s">
        <v>32</v>
      </c>
    </row>
    <row r="99" spans="1:8" x14ac:dyDescent="0.3">
      <c r="A99" s="28">
        <v>17</v>
      </c>
      <c r="B99" s="28" t="s">
        <v>26</v>
      </c>
      <c r="C99" s="156" t="s">
        <v>260</v>
      </c>
      <c r="D99" s="28">
        <v>4</v>
      </c>
      <c r="E99" s="28"/>
      <c r="F99" s="28">
        <f t="shared" si="2"/>
        <v>4</v>
      </c>
      <c r="G99" s="28" t="s">
        <v>103</v>
      </c>
    </row>
    <row r="100" spans="1:8" x14ac:dyDescent="0.3">
      <c r="A100" s="28">
        <v>17</v>
      </c>
      <c r="B100" s="28" t="s">
        <v>26</v>
      </c>
      <c r="C100" s="156" t="s">
        <v>309</v>
      </c>
      <c r="D100" s="28">
        <v>4</v>
      </c>
      <c r="E100" s="28">
        <v>4</v>
      </c>
      <c r="F100" s="28">
        <f t="shared" si="2"/>
        <v>0</v>
      </c>
      <c r="G100" s="28" t="s">
        <v>103</v>
      </c>
    </row>
    <row r="101" spans="1:8" x14ac:dyDescent="0.3">
      <c r="A101" s="28">
        <v>17</v>
      </c>
      <c r="B101" s="28" t="s">
        <v>26</v>
      </c>
      <c r="C101" s="156" t="s">
        <v>194</v>
      </c>
      <c r="D101" s="28">
        <v>4</v>
      </c>
      <c r="E101" s="28">
        <v>4</v>
      </c>
      <c r="F101" s="28">
        <f t="shared" si="2"/>
        <v>0</v>
      </c>
      <c r="G101" s="28" t="s">
        <v>32</v>
      </c>
    </row>
    <row r="102" spans="1:8" x14ac:dyDescent="0.3">
      <c r="A102" s="28">
        <v>17</v>
      </c>
      <c r="B102" s="28" t="s">
        <v>26</v>
      </c>
      <c r="C102" s="156" t="s">
        <v>196</v>
      </c>
      <c r="D102" s="28">
        <v>4</v>
      </c>
      <c r="E102" s="28"/>
      <c r="F102" s="28">
        <f t="shared" si="2"/>
        <v>4</v>
      </c>
      <c r="G102" s="28" t="s">
        <v>32</v>
      </c>
    </row>
    <row r="103" spans="1:8" ht="18.600000000000001" thickBot="1" x14ac:dyDescent="0.35">
      <c r="A103" s="52"/>
      <c r="B103" s="53" t="s">
        <v>18</v>
      </c>
      <c r="C103" s="53"/>
      <c r="D103" s="53"/>
      <c r="E103" s="53"/>
      <c r="F103" s="53"/>
      <c r="G103" s="54"/>
    </row>
    <row r="104" spans="1:8" x14ac:dyDescent="0.3">
      <c r="A104" s="24">
        <v>17</v>
      </c>
      <c r="B104" s="24" t="s">
        <v>18</v>
      </c>
      <c r="C104" s="157" t="s">
        <v>167</v>
      </c>
      <c r="D104" s="24">
        <v>20</v>
      </c>
      <c r="E104" s="24">
        <v>8</v>
      </c>
      <c r="F104" s="24">
        <f t="shared" si="2"/>
        <v>12</v>
      </c>
      <c r="G104" s="24" t="s">
        <v>32</v>
      </c>
    </row>
    <row r="105" spans="1:8" x14ac:dyDescent="0.3">
      <c r="A105" s="24">
        <v>17</v>
      </c>
      <c r="B105" s="24" t="s">
        <v>18</v>
      </c>
      <c r="C105" s="157" t="s">
        <v>99</v>
      </c>
      <c r="D105" s="24">
        <v>8</v>
      </c>
      <c r="E105" s="24">
        <v>4</v>
      </c>
      <c r="F105" s="24">
        <f t="shared" si="2"/>
        <v>4</v>
      </c>
      <c r="G105" s="24" t="s">
        <v>103</v>
      </c>
    </row>
    <row r="106" spans="1:8" x14ac:dyDescent="0.3">
      <c r="A106" s="24">
        <v>17</v>
      </c>
      <c r="B106" s="24" t="s">
        <v>18</v>
      </c>
      <c r="C106" s="157" t="s">
        <v>308</v>
      </c>
      <c r="D106" s="24">
        <v>4</v>
      </c>
      <c r="E106" s="24">
        <v>4</v>
      </c>
      <c r="F106" s="24">
        <f t="shared" si="2"/>
        <v>0</v>
      </c>
      <c r="G106" s="24" t="s">
        <v>103</v>
      </c>
    </row>
    <row r="107" spans="1:8" x14ac:dyDescent="0.3">
      <c r="A107" s="26">
        <v>17</v>
      </c>
      <c r="B107" s="26" t="s">
        <v>18</v>
      </c>
      <c r="C107" s="102" t="s">
        <v>77</v>
      </c>
      <c r="D107" s="26">
        <v>28</v>
      </c>
      <c r="E107" s="26">
        <v>20</v>
      </c>
      <c r="F107" s="26">
        <f t="shared" si="2"/>
        <v>8</v>
      </c>
      <c r="G107" s="26" t="s">
        <v>32</v>
      </c>
    </row>
    <row r="108" spans="1:8" x14ac:dyDescent="0.3">
      <c r="A108" s="26">
        <v>17</v>
      </c>
      <c r="B108" s="26" t="s">
        <v>18</v>
      </c>
      <c r="C108" s="102" t="s">
        <v>76</v>
      </c>
      <c r="D108" s="26">
        <v>120</v>
      </c>
      <c r="E108" s="26">
        <v>84</v>
      </c>
      <c r="F108" s="26">
        <f t="shared" si="2"/>
        <v>36</v>
      </c>
      <c r="G108" s="26" t="s">
        <v>32</v>
      </c>
    </row>
    <row r="109" spans="1:8" x14ac:dyDescent="0.3">
      <c r="A109" s="26">
        <v>17</v>
      </c>
      <c r="B109" s="26" t="s">
        <v>18</v>
      </c>
      <c r="C109" s="102" t="s">
        <v>75</v>
      </c>
      <c r="D109" s="26">
        <v>10</v>
      </c>
      <c r="E109" s="26">
        <v>8</v>
      </c>
      <c r="F109" s="26">
        <f t="shared" si="2"/>
        <v>2</v>
      </c>
      <c r="G109" s="26" t="s">
        <v>32</v>
      </c>
    </row>
    <row r="110" spans="1:8" x14ac:dyDescent="0.3">
      <c r="A110" s="26">
        <v>17</v>
      </c>
      <c r="B110" s="26" t="s">
        <v>18</v>
      </c>
      <c r="C110" s="102" t="s">
        <v>79</v>
      </c>
      <c r="D110" s="26">
        <v>16</v>
      </c>
      <c r="E110" s="26">
        <v>12</v>
      </c>
      <c r="F110" s="26">
        <f>D110-E110</f>
        <v>4</v>
      </c>
      <c r="G110" s="26" t="s">
        <v>103</v>
      </c>
    </row>
    <row r="111" spans="1:8" x14ac:dyDescent="0.3">
      <c r="A111" s="26">
        <v>17</v>
      </c>
      <c r="B111" s="26" t="s">
        <v>18</v>
      </c>
      <c r="C111" s="102" t="s">
        <v>235</v>
      </c>
      <c r="D111" s="26">
        <v>4</v>
      </c>
      <c r="E111" s="26">
        <v>4</v>
      </c>
      <c r="F111" s="26">
        <f t="shared" si="2"/>
        <v>0</v>
      </c>
      <c r="G111" s="26" t="s">
        <v>50</v>
      </c>
    </row>
    <row r="112" spans="1:8" x14ac:dyDescent="0.3">
      <c r="A112" s="26">
        <v>17</v>
      </c>
      <c r="B112" s="26" t="s">
        <v>18</v>
      </c>
      <c r="C112" s="102" t="s">
        <v>249</v>
      </c>
      <c r="D112" s="26">
        <v>8</v>
      </c>
      <c r="E112" s="26">
        <v>4</v>
      </c>
      <c r="F112" s="26">
        <f t="shared" si="2"/>
        <v>4</v>
      </c>
      <c r="G112" s="26" t="s">
        <v>32</v>
      </c>
    </row>
    <row r="113" spans="1:7" x14ac:dyDescent="0.3">
      <c r="A113" s="26">
        <v>17</v>
      </c>
      <c r="B113" s="26" t="s">
        <v>18</v>
      </c>
      <c r="C113" s="102" t="s">
        <v>276</v>
      </c>
      <c r="D113" s="26">
        <v>8</v>
      </c>
      <c r="E113" s="26">
        <v>4</v>
      </c>
      <c r="F113" s="26">
        <f t="shared" si="2"/>
        <v>4</v>
      </c>
      <c r="G113" s="26" t="s">
        <v>103</v>
      </c>
    </row>
    <row r="114" spans="1:7" x14ac:dyDescent="0.3">
      <c r="A114" s="26">
        <v>17</v>
      </c>
      <c r="B114" s="26" t="s">
        <v>18</v>
      </c>
      <c r="C114" s="102" t="s">
        <v>216</v>
      </c>
      <c r="D114" s="26">
        <v>8</v>
      </c>
      <c r="E114" s="26">
        <v>4</v>
      </c>
      <c r="F114" s="26">
        <f t="shared" si="2"/>
        <v>4</v>
      </c>
      <c r="G114" s="26" t="s">
        <v>103</v>
      </c>
    </row>
    <row r="115" spans="1:7" x14ac:dyDescent="0.3">
      <c r="A115" s="26">
        <v>17</v>
      </c>
      <c r="B115" s="26" t="s">
        <v>18</v>
      </c>
      <c r="C115" s="102" t="s">
        <v>150</v>
      </c>
      <c r="D115" s="26">
        <v>10</v>
      </c>
      <c r="E115" s="26">
        <v>8</v>
      </c>
      <c r="F115" s="26">
        <f t="shared" si="2"/>
        <v>2</v>
      </c>
      <c r="G115" s="26" t="s">
        <v>32</v>
      </c>
    </row>
    <row r="116" spans="1:7" x14ac:dyDescent="0.3">
      <c r="A116" s="26">
        <v>17</v>
      </c>
      <c r="B116" s="26" t="s">
        <v>18</v>
      </c>
      <c r="C116" s="102" t="s">
        <v>236</v>
      </c>
      <c r="D116" s="26">
        <v>2</v>
      </c>
      <c r="E116" s="26"/>
      <c r="F116" s="26">
        <f t="shared" si="2"/>
        <v>2</v>
      </c>
      <c r="G116" s="26" t="s">
        <v>32</v>
      </c>
    </row>
    <row r="117" spans="1:7" x14ac:dyDescent="0.3">
      <c r="A117" s="26">
        <v>17</v>
      </c>
      <c r="B117" s="26" t="s">
        <v>18</v>
      </c>
      <c r="C117" s="102" t="s">
        <v>420</v>
      </c>
      <c r="D117" s="26">
        <v>2</v>
      </c>
      <c r="E117" s="26"/>
      <c r="F117" s="26">
        <f t="shared" si="2"/>
        <v>2</v>
      </c>
      <c r="G117" s="26" t="s">
        <v>32</v>
      </c>
    </row>
    <row r="118" spans="1:7" x14ac:dyDescent="0.3">
      <c r="A118" s="26">
        <v>17</v>
      </c>
      <c r="B118" s="26" t="s">
        <v>18</v>
      </c>
      <c r="C118" s="102" t="s">
        <v>51</v>
      </c>
      <c r="D118" s="26">
        <v>2</v>
      </c>
      <c r="E118" s="26"/>
      <c r="F118" s="26">
        <f t="shared" si="2"/>
        <v>2</v>
      </c>
      <c r="G118" s="26" t="s">
        <v>32</v>
      </c>
    </row>
    <row r="119" spans="1:7" x14ac:dyDescent="0.3">
      <c r="A119" s="26">
        <v>17</v>
      </c>
      <c r="B119" s="26" t="s">
        <v>18</v>
      </c>
      <c r="C119" s="102" t="s">
        <v>352</v>
      </c>
      <c r="D119" s="26">
        <v>4</v>
      </c>
      <c r="E119" s="26">
        <v>4</v>
      </c>
      <c r="F119" s="26">
        <f t="shared" si="2"/>
        <v>0</v>
      </c>
      <c r="G119" s="26" t="s">
        <v>103</v>
      </c>
    </row>
    <row r="120" spans="1:7" x14ac:dyDescent="0.3">
      <c r="A120" s="26">
        <v>17</v>
      </c>
      <c r="B120" s="26" t="s">
        <v>18</v>
      </c>
      <c r="C120" s="102" t="s">
        <v>234</v>
      </c>
      <c r="D120" s="26">
        <v>10</v>
      </c>
      <c r="E120" s="26">
        <v>10</v>
      </c>
      <c r="F120" s="26">
        <f t="shared" si="2"/>
        <v>0</v>
      </c>
      <c r="G120" s="26" t="s">
        <v>32</v>
      </c>
    </row>
    <row r="121" spans="1:7" x14ac:dyDescent="0.3">
      <c r="A121" s="26">
        <v>17</v>
      </c>
      <c r="B121" s="26" t="s">
        <v>201</v>
      </c>
      <c r="C121" s="102" t="s">
        <v>202</v>
      </c>
      <c r="D121" s="26">
        <v>20</v>
      </c>
      <c r="E121" s="26">
        <v>16</v>
      </c>
      <c r="F121" s="26">
        <f t="shared" si="2"/>
        <v>4</v>
      </c>
      <c r="G121" s="26" t="s">
        <v>103</v>
      </c>
    </row>
    <row r="122" spans="1:7" x14ac:dyDescent="0.3">
      <c r="A122" s="26">
        <v>17</v>
      </c>
      <c r="B122" s="26" t="s">
        <v>18</v>
      </c>
      <c r="C122" s="102" t="s">
        <v>144</v>
      </c>
      <c r="D122" s="26">
        <v>8</v>
      </c>
      <c r="E122" s="26">
        <v>4</v>
      </c>
      <c r="F122" s="26">
        <f t="shared" si="2"/>
        <v>4</v>
      </c>
      <c r="G122" s="26" t="s">
        <v>32</v>
      </c>
    </row>
    <row r="123" spans="1:7" x14ac:dyDescent="0.3">
      <c r="A123" s="26">
        <v>17</v>
      </c>
      <c r="B123" s="26" t="s">
        <v>18</v>
      </c>
      <c r="C123" s="102" t="s">
        <v>146</v>
      </c>
      <c r="D123" s="26">
        <v>10</v>
      </c>
      <c r="E123" s="26">
        <v>4</v>
      </c>
      <c r="F123" s="26">
        <f t="shared" si="2"/>
        <v>6</v>
      </c>
      <c r="G123" s="26" t="s">
        <v>32</v>
      </c>
    </row>
    <row r="124" spans="1:7" ht="18.600000000000001" thickBot="1" x14ac:dyDescent="0.35">
      <c r="A124" s="52"/>
      <c r="B124" s="53" t="s">
        <v>15</v>
      </c>
      <c r="C124" s="53"/>
      <c r="D124" s="53"/>
      <c r="E124" s="53"/>
      <c r="F124" s="53"/>
      <c r="G124" s="54"/>
    </row>
    <row r="125" spans="1:7" x14ac:dyDescent="0.3">
      <c r="A125" s="26">
        <v>17</v>
      </c>
      <c r="B125" s="26" t="s">
        <v>15</v>
      </c>
      <c r="C125" s="102" t="s">
        <v>157</v>
      </c>
      <c r="D125" s="26">
        <v>10</v>
      </c>
      <c r="E125" s="26">
        <v>8</v>
      </c>
      <c r="F125" s="26">
        <f t="shared" si="2"/>
        <v>2</v>
      </c>
      <c r="G125" s="26" t="s">
        <v>32</v>
      </c>
    </row>
    <row r="126" spans="1:7" x14ac:dyDescent="0.3">
      <c r="A126" s="26">
        <v>17</v>
      </c>
      <c r="B126" s="26" t="s">
        <v>15</v>
      </c>
      <c r="C126" s="102" t="s">
        <v>66</v>
      </c>
      <c r="D126" s="26">
        <v>6</v>
      </c>
      <c r="E126" s="26">
        <v>4</v>
      </c>
      <c r="F126" s="26">
        <f t="shared" si="2"/>
        <v>2</v>
      </c>
      <c r="G126" s="26" t="s">
        <v>50</v>
      </c>
    </row>
    <row r="127" spans="1:7" x14ac:dyDescent="0.3">
      <c r="A127" s="26">
        <v>17</v>
      </c>
      <c r="B127" s="26" t="s">
        <v>15</v>
      </c>
      <c r="C127" s="102" t="s">
        <v>457</v>
      </c>
      <c r="D127" s="26">
        <v>4</v>
      </c>
      <c r="E127" s="26">
        <v>4</v>
      </c>
      <c r="F127" s="26">
        <f t="shared" si="2"/>
        <v>0</v>
      </c>
      <c r="G127" s="26" t="s">
        <v>103</v>
      </c>
    </row>
    <row r="128" spans="1:7" x14ac:dyDescent="0.3">
      <c r="A128" s="26">
        <v>17</v>
      </c>
      <c r="B128" s="26" t="s">
        <v>15</v>
      </c>
      <c r="C128" s="102" t="s">
        <v>95</v>
      </c>
      <c r="D128" s="26">
        <v>24</v>
      </c>
      <c r="E128" s="26">
        <v>10</v>
      </c>
      <c r="F128" s="26">
        <f t="shared" si="2"/>
        <v>14</v>
      </c>
      <c r="G128" s="26" t="s">
        <v>32</v>
      </c>
    </row>
    <row r="129" spans="1:8" x14ac:dyDescent="0.3">
      <c r="A129" s="26">
        <v>17</v>
      </c>
      <c r="B129" s="26" t="s">
        <v>15</v>
      </c>
      <c r="C129" s="102" t="s">
        <v>401</v>
      </c>
      <c r="D129" s="26">
        <v>2</v>
      </c>
      <c r="E129" s="26"/>
      <c r="F129" s="26">
        <f t="shared" si="2"/>
        <v>2</v>
      </c>
      <c r="G129" s="26" t="s">
        <v>32</v>
      </c>
    </row>
    <row r="130" spans="1:8" x14ac:dyDescent="0.3">
      <c r="A130" s="26">
        <v>17</v>
      </c>
      <c r="B130" s="26" t="s">
        <v>15</v>
      </c>
      <c r="C130" s="102" t="s">
        <v>424</v>
      </c>
      <c r="D130" s="26">
        <v>6</v>
      </c>
      <c r="E130" s="26">
        <v>6</v>
      </c>
      <c r="F130" s="26">
        <f t="shared" ref="F130:F132" si="4">D130-E130</f>
        <v>0</v>
      </c>
      <c r="G130" s="26" t="s">
        <v>32</v>
      </c>
    </row>
    <row r="131" spans="1:8" x14ac:dyDescent="0.3">
      <c r="A131" s="26">
        <v>17</v>
      </c>
      <c r="B131" s="26" t="s">
        <v>15</v>
      </c>
      <c r="C131" s="102" t="s">
        <v>79</v>
      </c>
      <c r="D131" s="26">
        <v>4</v>
      </c>
      <c r="E131" s="26">
        <v>4</v>
      </c>
      <c r="F131" s="26">
        <f t="shared" si="4"/>
        <v>0</v>
      </c>
      <c r="G131" s="26" t="s">
        <v>103</v>
      </c>
    </row>
    <row r="132" spans="1:8" x14ac:dyDescent="0.3">
      <c r="A132" s="26">
        <v>17</v>
      </c>
      <c r="B132" s="26" t="s">
        <v>15</v>
      </c>
      <c r="C132" s="102" t="s">
        <v>109</v>
      </c>
      <c r="D132" s="26">
        <v>2</v>
      </c>
      <c r="E132" s="26"/>
      <c r="F132" s="26">
        <f t="shared" si="4"/>
        <v>2</v>
      </c>
      <c r="G132" s="26" t="s">
        <v>103</v>
      </c>
    </row>
    <row r="133" spans="1:8" x14ac:dyDescent="0.3">
      <c r="A133" s="26">
        <v>17</v>
      </c>
      <c r="B133" s="26" t="s">
        <v>15</v>
      </c>
      <c r="C133" s="102" t="s">
        <v>76</v>
      </c>
      <c r="D133" s="26">
        <v>28</v>
      </c>
      <c r="E133" s="26">
        <v>22</v>
      </c>
      <c r="F133" s="26">
        <f t="shared" ref="F133:F160" si="5">D133-E133</f>
        <v>6</v>
      </c>
      <c r="G133" s="26" t="s">
        <v>335</v>
      </c>
      <c r="H133" t="s">
        <v>153</v>
      </c>
    </row>
    <row r="134" spans="1:8" x14ac:dyDescent="0.3">
      <c r="A134" s="26">
        <v>17</v>
      </c>
      <c r="B134" s="26" t="s">
        <v>15</v>
      </c>
      <c r="C134" s="102" t="s">
        <v>75</v>
      </c>
      <c r="D134" s="26">
        <v>4</v>
      </c>
      <c r="E134" s="26">
        <v>2</v>
      </c>
      <c r="F134" s="26">
        <f t="shared" si="5"/>
        <v>2</v>
      </c>
      <c r="G134" s="26" t="s">
        <v>32</v>
      </c>
    </row>
    <row r="135" spans="1:8" x14ac:dyDescent="0.3">
      <c r="A135" s="26">
        <v>17</v>
      </c>
      <c r="B135" s="26" t="s">
        <v>15</v>
      </c>
      <c r="C135" s="102" t="s">
        <v>242</v>
      </c>
      <c r="D135" s="26">
        <v>2</v>
      </c>
      <c r="E135" s="26"/>
      <c r="F135" s="26">
        <f t="shared" si="5"/>
        <v>2</v>
      </c>
      <c r="G135" s="26" t="s">
        <v>32</v>
      </c>
    </row>
    <row r="136" spans="1:8" x14ac:dyDescent="0.3">
      <c r="A136" s="26">
        <v>17</v>
      </c>
      <c r="B136" s="26" t="s">
        <v>15</v>
      </c>
      <c r="C136" s="102" t="s">
        <v>544</v>
      </c>
      <c r="D136" s="26">
        <v>8</v>
      </c>
      <c r="E136" s="26">
        <v>4</v>
      </c>
      <c r="F136" s="26">
        <f t="shared" si="5"/>
        <v>4</v>
      </c>
      <c r="G136" s="26" t="s">
        <v>32</v>
      </c>
    </row>
    <row r="137" spans="1:8" x14ac:dyDescent="0.3">
      <c r="A137" s="26">
        <v>17</v>
      </c>
      <c r="B137" s="26" t="s">
        <v>15</v>
      </c>
      <c r="C137" s="102" t="s">
        <v>182</v>
      </c>
      <c r="D137" s="26">
        <v>2</v>
      </c>
      <c r="E137" s="26"/>
      <c r="F137" s="26">
        <f t="shared" si="5"/>
        <v>2</v>
      </c>
      <c r="G137" s="26" t="s">
        <v>32</v>
      </c>
    </row>
    <row r="138" spans="1:8" x14ac:dyDescent="0.3">
      <c r="A138" s="26">
        <v>17</v>
      </c>
      <c r="B138" s="26" t="s">
        <v>15</v>
      </c>
      <c r="C138" s="102" t="s">
        <v>97</v>
      </c>
      <c r="D138" s="26">
        <v>2</v>
      </c>
      <c r="E138" s="26"/>
      <c r="F138" s="26">
        <f t="shared" si="5"/>
        <v>2</v>
      </c>
      <c r="G138" s="26" t="s">
        <v>57</v>
      </c>
    </row>
    <row r="139" spans="1:8" x14ac:dyDescent="0.3">
      <c r="A139" s="26">
        <v>17</v>
      </c>
      <c r="B139" s="28" t="s">
        <v>15</v>
      </c>
      <c r="C139" s="156" t="s">
        <v>420</v>
      </c>
      <c r="D139" s="28">
        <v>10</v>
      </c>
      <c r="E139" s="28">
        <v>4</v>
      </c>
      <c r="F139" s="28">
        <f t="shared" si="5"/>
        <v>6</v>
      </c>
      <c r="G139" s="28" t="s">
        <v>32</v>
      </c>
    </row>
    <row r="140" spans="1:8" x14ac:dyDescent="0.3">
      <c r="A140" s="26">
        <v>17</v>
      </c>
      <c r="B140" s="28" t="s">
        <v>19</v>
      </c>
      <c r="C140" s="156" t="s">
        <v>197</v>
      </c>
      <c r="D140" s="28">
        <v>2</v>
      </c>
      <c r="E140" s="28"/>
      <c r="F140" s="28">
        <f t="shared" si="5"/>
        <v>2</v>
      </c>
      <c r="G140" s="28" t="s">
        <v>32</v>
      </c>
    </row>
    <row r="141" spans="1:8" x14ac:dyDescent="0.3">
      <c r="A141" s="26">
        <v>17</v>
      </c>
      <c r="B141" s="28" t="s">
        <v>19</v>
      </c>
      <c r="C141" s="156" t="s">
        <v>66</v>
      </c>
      <c r="D141" s="28">
        <v>2</v>
      </c>
      <c r="E141" s="28"/>
      <c r="F141" s="28">
        <f t="shared" si="5"/>
        <v>2</v>
      </c>
      <c r="G141" s="28" t="s">
        <v>32</v>
      </c>
    </row>
    <row r="142" spans="1:8" ht="18.600000000000001" thickBot="1" x14ac:dyDescent="0.35">
      <c r="A142" s="52"/>
      <c r="B142" s="53" t="s">
        <v>20</v>
      </c>
      <c r="C142" s="53"/>
      <c r="D142" s="53"/>
      <c r="E142" s="53"/>
      <c r="F142" s="53"/>
      <c r="G142" s="54"/>
    </row>
    <row r="143" spans="1:8" x14ac:dyDescent="0.3">
      <c r="A143" s="24">
        <v>17</v>
      </c>
      <c r="B143" s="24" t="s">
        <v>20</v>
      </c>
      <c r="C143" s="157" t="s">
        <v>243</v>
      </c>
      <c r="D143" s="24">
        <v>2</v>
      </c>
      <c r="E143" s="24"/>
      <c r="F143" s="24">
        <f>D143-E143</f>
        <v>2</v>
      </c>
      <c r="G143" s="24" t="s">
        <v>32</v>
      </c>
    </row>
    <row r="144" spans="1:8" x14ac:dyDescent="0.3">
      <c r="A144" s="24">
        <v>17</v>
      </c>
      <c r="B144" s="24" t="s">
        <v>20</v>
      </c>
      <c r="C144" s="157" t="s">
        <v>408</v>
      </c>
      <c r="D144" s="24">
        <v>4</v>
      </c>
      <c r="E144" s="24">
        <v>4</v>
      </c>
      <c r="F144" s="24">
        <f>D144-E144</f>
        <v>0</v>
      </c>
      <c r="G144" s="24" t="s">
        <v>32</v>
      </c>
      <c r="H144" s="177">
        <v>2017</v>
      </c>
    </row>
    <row r="145" spans="1:8" x14ac:dyDescent="0.3">
      <c r="A145" s="26">
        <v>17</v>
      </c>
      <c r="B145" s="26" t="s">
        <v>20</v>
      </c>
      <c r="C145" s="102" t="s">
        <v>76</v>
      </c>
      <c r="D145" s="26">
        <v>68</v>
      </c>
      <c r="E145" s="26">
        <v>66</v>
      </c>
      <c r="F145" s="26">
        <f t="shared" si="5"/>
        <v>2</v>
      </c>
      <c r="G145" s="26" t="s">
        <v>32</v>
      </c>
      <c r="H145" t="s">
        <v>204</v>
      </c>
    </row>
    <row r="146" spans="1:8" x14ac:dyDescent="0.3">
      <c r="A146" s="26">
        <v>17</v>
      </c>
      <c r="B146" s="26" t="s">
        <v>20</v>
      </c>
      <c r="C146" s="102" t="s">
        <v>77</v>
      </c>
      <c r="D146" s="26">
        <v>14</v>
      </c>
      <c r="E146" s="26">
        <v>10</v>
      </c>
      <c r="F146" s="26">
        <f t="shared" si="5"/>
        <v>4</v>
      </c>
      <c r="G146" s="26" t="s">
        <v>32</v>
      </c>
    </row>
    <row r="147" spans="1:8" x14ac:dyDescent="0.3">
      <c r="A147" s="26">
        <v>17</v>
      </c>
      <c r="B147" s="26" t="s">
        <v>20</v>
      </c>
      <c r="C147" s="102" t="s">
        <v>459</v>
      </c>
      <c r="D147" s="26">
        <v>4</v>
      </c>
      <c r="E147" s="26"/>
      <c r="F147" s="26">
        <f t="shared" si="5"/>
        <v>4</v>
      </c>
      <c r="G147" s="26" t="s">
        <v>103</v>
      </c>
    </row>
    <row r="148" spans="1:8" x14ac:dyDescent="0.3">
      <c r="A148" s="26">
        <v>17</v>
      </c>
      <c r="B148" s="26" t="s">
        <v>20</v>
      </c>
      <c r="C148" s="102" t="s">
        <v>98</v>
      </c>
      <c r="D148" s="26">
        <v>16</v>
      </c>
      <c r="E148" s="26">
        <v>10</v>
      </c>
      <c r="F148" s="26">
        <f t="shared" si="5"/>
        <v>6</v>
      </c>
      <c r="G148" s="26" t="s">
        <v>50</v>
      </c>
    </row>
    <row r="149" spans="1:8" x14ac:dyDescent="0.3">
      <c r="A149" s="26">
        <v>17</v>
      </c>
      <c r="B149" s="26" t="s">
        <v>20</v>
      </c>
      <c r="C149" s="102" t="s">
        <v>150</v>
      </c>
      <c r="D149" s="26">
        <v>6</v>
      </c>
      <c r="E149" s="26">
        <v>6</v>
      </c>
      <c r="F149" s="26">
        <f t="shared" si="5"/>
        <v>0</v>
      </c>
      <c r="G149" s="26" t="s">
        <v>50</v>
      </c>
    </row>
    <row r="150" spans="1:8" x14ac:dyDescent="0.3">
      <c r="A150" s="26">
        <v>17</v>
      </c>
      <c r="B150" s="26" t="s">
        <v>20</v>
      </c>
      <c r="C150" s="102" t="s">
        <v>53</v>
      </c>
      <c r="D150" s="26">
        <v>10</v>
      </c>
      <c r="E150" s="26">
        <v>8</v>
      </c>
      <c r="F150" s="26">
        <f t="shared" si="5"/>
        <v>2</v>
      </c>
      <c r="G150" s="26" t="s">
        <v>32</v>
      </c>
    </row>
    <row r="151" spans="1:8" x14ac:dyDescent="0.3">
      <c r="A151" s="26">
        <v>17</v>
      </c>
      <c r="B151" s="26" t="s">
        <v>20</v>
      </c>
      <c r="C151" s="102" t="s">
        <v>48</v>
      </c>
      <c r="D151" s="26">
        <v>24</v>
      </c>
      <c r="E151" s="26">
        <v>14</v>
      </c>
      <c r="F151" s="26">
        <f t="shared" si="5"/>
        <v>10</v>
      </c>
      <c r="G151" s="26" t="s">
        <v>32</v>
      </c>
    </row>
    <row r="152" spans="1:8" ht="18" x14ac:dyDescent="0.3">
      <c r="A152" s="78"/>
      <c r="B152" s="77" t="s">
        <v>16</v>
      </c>
      <c r="C152" s="77"/>
      <c r="D152" s="77"/>
      <c r="E152" s="77"/>
      <c r="F152" s="77"/>
      <c r="G152" s="147"/>
    </row>
    <row r="153" spans="1:8" x14ac:dyDescent="0.3">
      <c r="A153" s="26">
        <v>17</v>
      </c>
      <c r="B153" s="26" t="s">
        <v>117</v>
      </c>
      <c r="C153" s="102" t="s">
        <v>76</v>
      </c>
      <c r="D153" s="26">
        <v>8</v>
      </c>
      <c r="E153" s="26">
        <v>4</v>
      </c>
      <c r="F153" s="26">
        <f t="shared" si="5"/>
        <v>4</v>
      </c>
      <c r="G153" s="76" t="s">
        <v>32</v>
      </c>
    </row>
    <row r="154" spans="1:8" x14ac:dyDescent="0.3">
      <c r="A154" s="24">
        <v>17</v>
      </c>
      <c r="B154" s="24" t="s">
        <v>34</v>
      </c>
      <c r="C154" s="157" t="s">
        <v>75</v>
      </c>
      <c r="D154" s="24">
        <v>4</v>
      </c>
      <c r="E154" s="24">
        <v>4</v>
      </c>
      <c r="F154" s="26">
        <f t="shared" si="5"/>
        <v>0</v>
      </c>
      <c r="G154" s="116" t="s">
        <v>32</v>
      </c>
    </row>
    <row r="155" spans="1:8" x14ac:dyDescent="0.3">
      <c r="A155" s="24">
        <v>17</v>
      </c>
      <c r="B155" s="24" t="s">
        <v>34</v>
      </c>
      <c r="C155" s="157" t="s">
        <v>95</v>
      </c>
      <c r="D155" s="24">
        <v>4</v>
      </c>
      <c r="E155" s="24"/>
      <c r="F155" s="26">
        <f t="shared" si="5"/>
        <v>4</v>
      </c>
      <c r="G155" s="116" t="s">
        <v>32</v>
      </c>
    </row>
    <row r="156" spans="1:8" ht="18" x14ac:dyDescent="0.3">
      <c r="A156" s="78"/>
      <c r="B156" s="77" t="s">
        <v>14</v>
      </c>
      <c r="C156" s="77"/>
      <c r="D156" s="79"/>
      <c r="E156" s="79"/>
      <c r="F156" s="146"/>
      <c r="G156" s="80"/>
    </row>
    <row r="157" spans="1:8" x14ac:dyDescent="0.3">
      <c r="A157" s="26">
        <v>17</v>
      </c>
      <c r="B157" s="26" t="s">
        <v>14</v>
      </c>
      <c r="C157" s="102" t="s">
        <v>125</v>
      </c>
      <c r="D157" s="26">
        <v>4</v>
      </c>
      <c r="E157" s="26">
        <v>4</v>
      </c>
      <c r="F157" s="26">
        <f t="shared" ref="F157:F158" si="6">D157-E157</f>
        <v>0</v>
      </c>
      <c r="G157" s="26" t="s">
        <v>32</v>
      </c>
    </row>
    <row r="158" spans="1:8" x14ac:dyDescent="0.3">
      <c r="A158" s="26">
        <v>17</v>
      </c>
      <c r="B158" s="26" t="s">
        <v>14</v>
      </c>
      <c r="C158" s="102" t="s">
        <v>75</v>
      </c>
      <c r="D158" s="26">
        <v>4</v>
      </c>
      <c r="E158" s="26">
        <v>4</v>
      </c>
      <c r="F158" s="26">
        <f t="shared" si="6"/>
        <v>0</v>
      </c>
      <c r="G158" s="26" t="s">
        <v>32</v>
      </c>
    </row>
    <row r="159" spans="1:8" ht="18.600000000000001" thickBot="1" x14ac:dyDescent="0.35">
      <c r="A159" s="52"/>
      <c r="B159" s="53" t="s">
        <v>55</v>
      </c>
      <c r="C159" s="53"/>
      <c r="D159" s="53"/>
      <c r="E159" s="53"/>
      <c r="F159" s="53"/>
      <c r="G159" s="54"/>
    </row>
    <row r="160" spans="1:8" x14ac:dyDescent="0.3">
      <c r="A160" s="26">
        <v>17</v>
      </c>
      <c r="B160" s="26" t="s">
        <v>55</v>
      </c>
      <c r="C160" s="102" t="s">
        <v>268</v>
      </c>
      <c r="D160" s="26">
        <v>6</v>
      </c>
      <c r="E160" s="26">
        <v>6</v>
      </c>
      <c r="F160" s="26">
        <f t="shared" si="5"/>
        <v>0</v>
      </c>
      <c r="G160" s="26" t="s">
        <v>32</v>
      </c>
    </row>
    <row r="161" spans="1:7" ht="15" thickBot="1" x14ac:dyDescent="0.35">
      <c r="A161" s="31"/>
      <c r="B161" s="31"/>
      <c r="C161" s="31" t="s">
        <v>42</v>
      </c>
      <c r="D161" s="68">
        <f>SUM(D2:D160)</f>
        <v>1410</v>
      </c>
      <c r="E161" s="38">
        <f>SUM(E2:E160)</f>
        <v>990</v>
      </c>
      <c r="F161" s="69">
        <f>SUM(F2:F160)</f>
        <v>426</v>
      </c>
      <c r="G161" s="31"/>
    </row>
  </sheetData>
  <sortState xmlns:xlrd2="http://schemas.microsoft.com/office/spreadsheetml/2017/richdata2" ref="A2:G32">
    <sortCondition ref="B2"/>
  </sortState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2"/>
  <sheetViews>
    <sheetView topLeftCell="A79" zoomScale="145" zoomScaleNormal="145" workbookViewId="0">
      <selection activeCell="H90" sqref="H90"/>
    </sheetView>
  </sheetViews>
  <sheetFormatPr defaultRowHeight="14.4" x14ac:dyDescent="0.3"/>
  <cols>
    <col min="1" max="1" width="3.88671875" customWidth="1"/>
    <col min="2" max="2" width="8.88671875" customWidth="1"/>
    <col min="3" max="3" width="34.33203125" customWidth="1"/>
    <col min="4" max="4" width="6.109375" customWidth="1"/>
    <col min="5" max="5" width="6" customWidth="1"/>
    <col min="6" max="6" width="5.44140625" customWidth="1"/>
    <col min="7" max="7" width="8.5546875" customWidth="1"/>
  </cols>
  <sheetData>
    <row r="1" spans="1:8" ht="21.6" thickBot="1" x14ac:dyDescent="0.35">
      <c r="A1" s="14" t="s">
        <v>0</v>
      </c>
      <c r="B1" s="15">
        <v>215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2"/>
    </row>
    <row r="2" spans="1:8" ht="18.600000000000001" thickBot="1" x14ac:dyDescent="0.35">
      <c r="A2" s="40"/>
      <c r="B2" s="41" t="s">
        <v>300</v>
      </c>
      <c r="C2" s="41"/>
      <c r="D2" s="41"/>
      <c r="E2" s="41"/>
      <c r="F2" s="41"/>
      <c r="G2" s="42"/>
      <c r="H2" s="2"/>
    </row>
    <row r="3" spans="1:8" x14ac:dyDescent="0.3">
      <c r="A3" s="46">
        <v>18</v>
      </c>
      <c r="B3" s="46" t="s">
        <v>300</v>
      </c>
      <c r="C3" s="62" t="s">
        <v>301</v>
      </c>
      <c r="D3" s="46">
        <v>28</v>
      </c>
      <c r="E3" s="46">
        <v>18</v>
      </c>
      <c r="F3" s="46">
        <f t="shared" ref="F3:F129" si="0">D3-E3</f>
        <v>10</v>
      </c>
      <c r="G3" s="62" t="s">
        <v>103</v>
      </c>
      <c r="H3" s="176" t="s">
        <v>456</v>
      </c>
    </row>
    <row r="4" spans="1:8" x14ac:dyDescent="0.3">
      <c r="A4" s="49">
        <v>18</v>
      </c>
      <c r="B4" s="49" t="s">
        <v>46</v>
      </c>
      <c r="C4" s="30" t="s">
        <v>205</v>
      </c>
      <c r="D4" s="49">
        <v>4</v>
      </c>
      <c r="E4" s="175"/>
      <c r="F4" s="49">
        <f t="shared" si="0"/>
        <v>4</v>
      </c>
      <c r="G4" s="170" t="s">
        <v>103</v>
      </c>
      <c r="H4" s="2"/>
    </row>
    <row r="5" spans="1:8" x14ac:dyDescent="0.3">
      <c r="A5" s="49">
        <v>18</v>
      </c>
      <c r="B5" s="49" t="s">
        <v>23</v>
      </c>
      <c r="C5" s="30" t="s">
        <v>525</v>
      </c>
      <c r="D5" s="49">
        <v>8</v>
      </c>
      <c r="E5" s="175">
        <v>8</v>
      </c>
      <c r="F5" s="49">
        <f t="shared" si="0"/>
        <v>0</v>
      </c>
      <c r="G5" s="170" t="s">
        <v>32</v>
      </c>
      <c r="H5" s="2"/>
    </row>
    <row r="6" spans="1:8" x14ac:dyDescent="0.3">
      <c r="A6" s="49">
        <v>18</v>
      </c>
      <c r="B6" s="49" t="s">
        <v>23</v>
      </c>
      <c r="C6" s="30" t="s">
        <v>498</v>
      </c>
      <c r="D6" s="49">
        <v>2</v>
      </c>
      <c r="E6" s="175"/>
      <c r="F6" s="49">
        <f t="shared" si="0"/>
        <v>2</v>
      </c>
      <c r="G6" s="170" t="s">
        <v>32</v>
      </c>
      <c r="H6" s="2"/>
    </row>
    <row r="7" spans="1:8" x14ac:dyDescent="0.3">
      <c r="A7" s="49">
        <v>18</v>
      </c>
      <c r="B7" s="49" t="s">
        <v>23</v>
      </c>
      <c r="C7" s="30" t="s">
        <v>490</v>
      </c>
      <c r="D7" s="49">
        <v>8</v>
      </c>
      <c r="E7" s="175">
        <v>4</v>
      </c>
      <c r="F7" s="49">
        <f t="shared" si="0"/>
        <v>4</v>
      </c>
      <c r="G7" s="170" t="s">
        <v>32</v>
      </c>
      <c r="H7" s="2"/>
    </row>
    <row r="8" spans="1:8" x14ac:dyDescent="0.3">
      <c r="A8" s="49">
        <v>18</v>
      </c>
      <c r="B8" s="49" t="s">
        <v>23</v>
      </c>
      <c r="C8" s="30" t="s">
        <v>476</v>
      </c>
      <c r="D8" s="49">
        <v>20</v>
      </c>
      <c r="E8" s="49">
        <v>16</v>
      </c>
      <c r="F8" s="49">
        <f t="shared" si="0"/>
        <v>4</v>
      </c>
      <c r="G8" s="30" t="s">
        <v>32</v>
      </c>
      <c r="H8" s="176">
        <v>2022</v>
      </c>
    </row>
    <row r="9" spans="1:8" ht="18.600000000000001" thickBot="1" x14ac:dyDescent="0.35">
      <c r="A9" s="181"/>
      <c r="B9" s="182" t="s">
        <v>29</v>
      </c>
      <c r="C9" s="44"/>
      <c r="D9" s="182"/>
      <c r="E9" s="182"/>
      <c r="F9" s="182"/>
      <c r="G9" s="45"/>
      <c r="H9" s="2"/>
    </row>
    <row r="10" spans="1:8" x14ac:dyDescent="0.3">
      <c r="A10" s="30">
        <v>18</v>
      </c>
      <c r="B10" s="30" t="s">
        <v>29</v>
      </c>
      <c r="C10" s="30" t="s">
        <v>256</v>
      </c>
      <c r="D10" s="30">
        <v>2</v>
      </c>
      <c r="E10" s="30"/>
      <c r="F10" s="30">
        <f t="shared" si="0"/>
        <v>2</v>
      </c>
      <c r="G10" s="30" t="s">
        <v>103</v>
      </c>
      <c r="H10" s="2"/>
    </row>
    <row r="11" spans="1:8" x14ac:dyDescent="0.3">
      <c r="A11" s="30">
        <v>18</v>
      </c>
      <c r="B11" s="30" t="s">
        <v>29</v>
      </c>
      <c r="C11" s="30" t="s">
        <v>531</v>
      </c>
      <c r="D11" s="30">
        <v>8</v>
      </c>
      <c r="E11" s="30">
        <v>4</v>
      </c>
      <c r="F11" s="30">
        <f t="shared" si="0"/>
        <v>4</v>
      </c>
      <c r="G11" s="30" t="s">
        <v>32</v>
      </c>
      <c r="H11" s="176">
        <v>2025</v>
      </c>
    </row>
    <row r="12" spans="1:8" x14ac:dyDescent="0.3">
      <c r="A12" s="30">
        <v>18</v>
      </c>
      <c r="B12" s="30" t="s">
        <v>29</v>
      </c>
      <c r="C12" s="30" t="s">
        <v>525</v>
      </c>
      <c r="D12" s="30">
        <v>16</v>
      </c>
      <c r="E12" s="30">
        <v>8</v>
      </c>
      <c r="F12" s="30">
        <f t="shared" si="0"/>
        <v>8</v>
      </c>
      <c r="G12" s="30" t="s">
        <v>103</v>
      </c>
      <c r="H12" s="176">
        <v>2025</v>
      </c>
    </row>
    <row r="13" spans="1:8" x14ac:dyDescent="0.3">
      <c r="A13" s="30">
        <v>18</v>
      </c>
      <c r="B13" s="30" t="s">
        <v>29</v>
      </c>
      <c r="C13" s="30" t="s">
        <v>524</v>
      </c>
      <c r="D13" s="30">
        <v>16</v>
      </c>
      <c r="E13" s="30">
        <v>16</v>
      </c>
      <c r="F13" s="30">
        <f t="shared" si="0"/>
        <v>0</v>
      </c>
      <c r="G13" s="30" t="s">
        <v>32</v>
      </c>
      <c r="H13" s="176">
        <v>2025</v>
      </c>
    </row>
    <row r="14" spans="1:8" x14ac:dyDescent="0.3">
      <c r="A14" s="30">
        <v>18</v>
      </c>
      <c r="B14" s="30" t="s">
        <v>29</v>
      </c>
      <c r="C14" s="30" t="s">
        <v>444</v>
      </c>
      <c r="D14" s="30">
        <v>4</v>
      </c>
      <c r="E14" s="30">
        <v>4</v>
      </c>
      <c r="F14" s="30">
        <f t="shared" si="0"/>
        <v>0</v>
      </c>
      <c r="G14" s="30" t="s">
        <v>32</v>
      </c>
      <c r="H14" s="176"/>
    </row>
    <row r="15" spans="1:8" x14ac:dyDescent="0.3">
      <c r="A15" s="30">
        <v>18</v>
      </c>
      <c r="B15" s="30" t="s">
        <v>29</v>
      </c>
      <c r="C15" s="30" t="s">
        <v>443</v>
      </c>
      <c r="D15" s="30">
        <v>16</v>
      </c>
      <c r="E15" s="30">
        <v>12</v>
      </c>
      <c r="F15" s="30">
        <f t="shared" si="0"/>
        <v>4</v>
      </c>
      <c r="G15" s="30" t="s">
        <v>32</v>
      </c>
      <c r="H15" s="176"/>
    </row>
    <row r="16" spans="1:8" ht="18.600000000000001" thickBot="1" x14ac:dyDescent="0.35">
      <c r="A16" s="43"/>
      <c r="B16" s="44" t="s">
        <v>21</v>
      </c>
      <c r="C16" s="44"/>
      <c r="D16" s="44"/>
      <c r="E16" s="44"/>
      <c r="F16" s="44"/>
      <c r="G16" s="45"/>
      <c r="H16" s="2"/>
    </row>
    <row r="17" spans="1:8" x14ac:dyDescent="0.3">
      <c r="A17" s="63">
        <v>18</v>
      </c>
      <c r="B17" s="63" t="s">
        <v>21</v>
      </c>
      <c r="C17" s="63" t="s">
        <v>228</v>
      </c>
      <c r="D17" s="63">
        <v>2</v>
      </c>
      <c r="E17" s="63">
        <v>2</v>
      </c>
      <c r="F17" s="63">
        <f t="shared" si="0"/>
        <v>0</v>
      </c>
      <c r="G17" s="63" t="s">
        <v>103</v>
      </c>
      <c r="H17" s="2"/>
    </row>
    <row r="18" spans="1:8" x14ac:dyDescent="0.3">
      <c r="A18" s="63">
        <v>18</v>
      </c>
      <c r="B18" s="63" t="s">
        <v>21</v>
      </c>
      <c r="C18" s="63" t="s">
        <v>211</v>
      </c>
      <c r="D18" s="63">
        <v>14</v>
      </c>
      <c r="E18" s="63">
        <v>10</v>
      </c>
      <c r="F18" s="63">
        <f t="shared" si="0"/>
        <v>4</v>
      </c>
      <c r="G18" s="63" t="s">
        <v>103</v>
      </c>
      <c r="H18" s="2"/>
    </row>
    <row r="19" spans="1:8" x14ac:dyDescent="0.3">
      <c r="A19" s="63">
        <v>18</v>
      </c>
      <c r="B19" s="63" t="s">
        <v>21</v>
      </c>
      <c r="C19" s="63" t="s">
        <v>260</v>
      </c>
      <c r="D19" s="63">
        <v>16</v>
      </c>
      <c r="E19" s="63">
        <v>8</v>
      </c>
      <c r="F19" s="63">
        <f t="shared" si="0"/>
        <v>8</v>
      </c>
      <c r="G19" s="63" t="s">
        <v>103</v>
      </c>
      <c r="H19" s="2"/>
    </row>
    <row r="20" spans="1:8" x14ac:dyDescent="0.3">
      <c r="A20" s="63">
        <v>18</v>
      </c>
      <c r="B20" s="63" t="s">
        <v>21</v>
      </c>
      <c r="C20" s="63" t="s">
        <v>171</v>
      </c>
      <c r="D20" s="63">
        <v>10</v>
      </c>
      <c r="E20" s="63">
        <v>4</v>
      </c>
      <c r="F20" s="63">
        <f t="shared" si="0"/>
        <v>6</v>
      </c>
      <c r="G20" s="63" t="s">
        <v>103</v>
      </c>
      <c r="H20" s="2"/>
    </row>
    <row r="21" spans="1:8" x14ac:dyDescent="0.3">
      <c r="A21" s="63">
        <v>18</v>
      </c>
      <c r="B21" s="63" t="s">
        <v>21</v>
      </c>
      <c r="C21" s="63" t="s">
        <v>256</v>
      </c>
      <c r="D21" s="63">
        <v>6</v>
      </c>
      <c r="E21" s="63"/>
      <c r="F21" s="63">
        <f t="shared" si="0"/>
        <v>6</v>
      </c>
      <c r="G21" s="63" t="s">
        <v>103</v>
      </c>
      <c r="H21" s="2"/>
    </row>
    <row r="22" spans="1:8" x14ac:dyDescent="0.3">
      <c r="A22" s="63">
        <v>18</v>
      </c>
      <c r="B22" s="63" t="s">
        <v>21</v>
      </c>
      <c r="C22" s="63" t="s">
        <v>114</v>
      </c>
      <c r="D22" s="63">
        <v>2</v>
      </c>
      <c r="E22" s="63">
        <v>2</v>
      </c>
      <c r="F22" s="63">
        <f t="shared" si="0"/>
        <v>0</v>
      </c>
      <c r="G22" s="63" t="s">
        <v>103</v>
      </c>
      <c r="H22" s="2"/>
    </row>
    <row r="23" spans="1:8" x14ac:dyDescent="0.3">
      <c r="A23" s="63">
        <v>18</v>
      </c>
      <c r="B23" s="63" t="s">
        <v>21</v>
      </c>
      <c r="C23" s="63" t="s">
        <v>518</v>
      </c>
      <c r="D23" s="63">
        <v>10</v>
      </c>
      <c r="E23" s="63">
        <v>10</v>
      </c>
      <c r="F23" s="63">
        <f t="shared" si="0"/>
        <v>0</v>
      </c>
      <c r="G23" s="63" t="s">
        <v>32</v>
      </c>
      <c r="H23" s="176"/>
    </row>
    <row r="24" spans="1:8" x14ac:dyDescent="0.3">
      <c r="A24" s="63">
        <v>18</v>
      </c>
      <c r="B24" s="63" t="s">
        <v>21</v>
      </c>
      <c r="C24" s="63" t="s">
        <v>423</v>
      </c>
      <c r="D24" s="63">
        <v>4</v>
      </c>
      <c r="E24" s="63">
        <v>4</v>
      </c>
      <c r="F24" s="63">
        <f t="shared" si="0"/>
        <v>0</v>
      </c>
      <c r="G24" s="63" t="s">
        <v>32</v>
      </c>
      <c r="H24" s="176">
        <v>2024</v>
      </c>
    </row>
    <row r="25" spans="1:8" x14ac:dyDescent="0.3">
      <c r="A25" s="63">
        <v>18</v>
      </c>
      <c r="B25" s="63" t="s">
        <v>21</v>
      </c>
      <c r="C25" s="63" t="s">
        <v>531</v>
      </c>
      <c r="D25" s="63">
        <v>24</v>
      </c>
      <c r="E25" s="63">
        <v>24</v>
      </c>
      <c r="F25" s="63">
        <f t="shared" si="0"/>
        <v>0</v>
      </c>
      <c r="G25" s="63" t="s">
        <v>32</v>
      </c>
      <c r="H25" s="176">
        <v>2025</v>
      </c>
    </row>
    <row r="26" spans="1:8" x14ac:dyDescent="0.3">
      <c r="A26" s="63">
        <v>18</v>
      </c>
      <c r="B26" s="63" t="s">
        <v>21</v>
      </c>
      <c r="C26" s="63" t="s">
        <v>536</v>
      </c>
      <c r="D26" s="63">
        <v>4</v>
      </c>
      <c r="E26" s="63">
        <v>4</v>
      </c>
      <c r="F26" s="63">
        <f t="shared" si="0"/>
        <v>0</v>
      </c>
      <c r="G26" s="63" t="s">
        <v>32</v>
      </c>
      <c r="H26" s="176"/>
    </row>
    <row r="27" spans="1:8" x14ac:dyDescent="0.3">
      <c r="A27" s="63">
        <v>18</v>
      </c>
      <c r="B27" s="63" t="s">
        <v>21</v>
      </c>
      <c r="C27" s="63" t="s">
        <v>525</v>
      </c>
      <c r="D27" s="63">
        <v>12</v>
      </c>
      <c r="E27" s="63">
        <v>8</v>
      </c>
      <c r="F27" s="63">
        <f t="shared" si="0"/>
        <v>4</v>
      </c>
      <c r="G27" s="63" t="s">
        <v>103</v>
      </c>
      <c r="H27" s="176"/>
    </row>
    <row r="28" spans="1:8" x14ac:dyDescent="0.3">
      <c r="A28" s="63">
        <v>18</v>
      </c>
      <c r="B28" s="63" t="s">
        <v>21</v>
      </c>
      <c r="C28" s="63" t="s">
        <v>524</v>
      </c>
      <c r="D28" s="63">
        <v>18</v>
      </c>
      <c r="E28" s="63">
        <v>14</v>
      </c>
      <c r="F28" s="63">
        <f t="shared" si="0"/>
        <v>4</v>
      </c>
      <c r="G28" s="63" t="s">
        <v>32</v>
      </c>
      <c r="H28" s="176"/>
    </row>
    <row r="29" spans="1:8" x14ac:dyDescent="0.3">
      <c r="A29" s="63">
        <v>18</v>
      </c>
      <c r="B29" s="63" t="s">
        <v>12</v>
      </c>
      <c r="C29" s="63" t="s">
        <v>474</v>
      </c>
      <c r="D29" s="63">
        <v>2</v>
      </c>
      <c r="E29" s="63">
        <v>2</v>
      </c>
      <c r="F29" s="63">
        <f t="shared" si="0"/>
        <v>0</v>
      </c>
      <c r="G29" s="63" t="s">
        <v>103</v>
      </c>
      <c r="H29" s="176"/>
    </row>
    <row r="30" spans="1:8" x14ac:dyDescent="0.3">
      <c r="A30" s="63">
        <v>18</v>
      </c>
      <c r="B30" s="63" t="s">
        <v>12</v>
      </c>
      <c r="C30" s="63" t="s">
        <v>529</v>
      </c>
      <c r="D30" s="63">
        <v>6</v>
      </c>
      <c r="E30" s="63">
        <v>6</v>
      </c>
      <c r="F30" s="63">
        <f t="shared" si="0"/>
        <v>0</v>
      </c>
      <c r="G30" s="63" t="s">
        <v>32</v>
      </c>
      <c r="H30" s="176"/>
    </row>
    <row r="31" spans="1:8" x14ac:dyDescent="0.3">
      <c r="A31" s="63">
        <v>18</v>
      </c>
      <c r="B31" s="63" t="s">
        <v>12</v>
      </c>
      <c r="C31" s="63" t="s">
        <v>524</v>
      </c>
      <c r="D31" s="63">
        <v>20</v>
      </c>
      <c r="E31" s="63">
        <v>20</v>
      </c>
      <c r="F31" s="63">
        <f t="shared" si="0"/>
        <v>0</v>
      </c>
      <c r="G31" s="63" t="s">
        <v>32</v>
      </c>
      <c r="H31" s="176"/>
    </row>
    <row r="32" spans="1:8" x14ac:dyDescent="0.3">
      <c r="A32" s="63">
        <v>18</v>
      </c>
      <c r="B32" s="63" t="s">
        <v>12</v>
      </c>
      <c r="C32" s="63" t="s">
        <v>530</v>
      </c>
      <c r="D32" s="63">
        <v>8</v>
      </c>
      <c r="E32" s="63">
        <v>8</v>
      </c>
      <c r="F32" s="63">
        <f t="shared" si="0"/>
        <v>0</v>
      </c>
      <c r="G32" s="63" t="s">
        <v>103</v>
      </c>
      <c r="H32" s="176"/>
    </row>
    <row r="33" spans="1:8" ht="18" x14ac:dyDescent="0.3">
      <c r="A33" s="173"/>
      <c r="B33" s="173" t="s">
        <v>25</v>
      </c>
      <c r="C33" s="173"/>
      <c r="D33" s="173"/>
      <c r="E33" s="173"/>
      <c r="F33" s="173"/>
      <c r="G33" s="173"/>
      <c r="H33" s="2"/>
    </row>
    <row r="34" spans="1:8" x14ac:dyDescent="0.3">
      <c r="A34" s="30">
        <v>18</v>
      </c>
      <c r="B34" s="30" t="s">
        <v>25</v>
      </c>
      <c r="C34" s="30" t="s">
        <v>506</v>
      </c>
      <c r="D34" s="30">
        <v>12</v>
      </c>
      <c r="E34" s="30">
        <v>12</v>
      </c>
      <c r="F34" s="30">
        <f t="shared" ref="F34:F47" si="1">D34-E34</f>
        <v>0</v>
      </c>
      <c r="G34" s="30" t="s">
        <v>32</v>
      </c>
      <c r="H34" s="176"/>
    </row>
    <row r="35" spans="1:8" x14ac:dyDescent="0.3">
      <c r="A35" s="30">
        <v>18</v>
      </c>
      <c r="B35" s="30" t="s">
        <v>25</v>
      </c>
      <c r="C35" s="30" t="s">
        <v>491</v>
      </c>
      <c r="D35" s="30">
        <v>4</v>
      </c>
      <c r="E35" s="30"/>
      <c r="F35" s="30">
        <f t="shared" si="1"/>
        <v>4</v>
      </c>
      <c r="G35" s="30" t="s">
        <v>32</v>
      </c>
      <c r="H35" s="176"/>
    </row>
    <row r="36" spans="1:8" x14ac:dyDescent="0.3">
      <c r="A36" s="30">
        <v>18</v>
      </c>
      <c r="B36" s="30" t="s">
        <v>25</v>
      </c>
      <c r="C36" s="30" t="s">
        <v>426</v>
      </c>
      <c r="D36" s="30">
        <v>4</v>
      </c>
      <c r="E36" s="30"/>
      <c r="F36" s="30">
        <f t="shared" si="1"/>
        <v>4</v>
      </c>
      <c r="G36" s="30" t="s">
        <v>32</v>
      </c>
      <c r="H36" s="176"/>
    </row>
    <row r="37" spans="1:8" x14ac:dyDescent="0.3">
      <c r="A37" s="30">
        <v>18</v>
      </c>
      <c r="B37" s="30" t="s">
        <v>25</v>
      </c>
      <c r="C37" s="30" t="s">
        <v>508</v>
      </c>
      <c r="D37" s="30">
        <v>4</v>
      </c>
      <c r="E37" s="30"/>
      <c r="F37" s="30">
        <f t="shared" si="1"/>
        <v>4</v>
      </c>
      <c r="G37" s="30" t="s">
        <v>103</v>
      </c>
      <c r="H37" s="176"/>
    </row>
    <row r="38" spans="1:8" x14ac:dyDescent="0.3">
      <c r="A38" s="30">
        <v>18</v>
      </c>
      <c r="B38" s="30" t="s">
        <v>25</v>
      </c>
      <c r="C38" s="30" t="s">
        <v>503</v>
      </c>
      <c r="D38" s="30">
        <v>4</v>
      </c>
      <c r="E38" s="30"/>
      <c r="F38" s="30">
        <f t="shared" si="1"/>
        <v>4</v>
      </c>
      <c r="G38" s="30" t="s">
        <v>32</v>
      </c>
      <c r="H38" s="176"/>
    </row>
    <row r="39" spans="1:8" x14ac:dyDescent="0.3">
      <c r="A39" s="30">
        <v>18</v>
      </c>
      <c r="B39" s="30" t="s">
        <v>25</v>
      </c>
      <c r="C39" s="30" t="s">
        <v>524</v>
      </c>
      <c r="D39" s="30">
        <v>16</v>
      </c>
      <c r="E39" s="30">
        <v>16</v>
      </c>
      <c r="F39" s="30">
        <f t="shared" si="1"/>
        <v>0</v>
      </c>
      <c r="G39" s="30" t="s">
        <v>32</v>
      </c>
      <c r="H39" s="176"/>
    </row>
    <row r="40" spans="1:8" x14ac:dyDescent="0.3">
      <c r="A40" s="30">
        <v>18</v>
      </c>
      <c r="B40" s="30" t="s">
        <v>25</v>
      </c>
      <c r="C40" s="30" t="s">
        <v>530</v>
      </c>
      <c r="D40" s="30">
        <v>8</v>
      </c>
      <c r="E40" s="30">
        <v>4</v>
      </c>
      <c r="F40" s="30">
        <f t="shared" si="1"/>
        <v>4</v>
      </c>
      <c r="G40" s="30" t="s">
        <v>103</v>
      </c>
      <c r="H40" s="176"/>
    </row>
    <row r="41" spans="1:8" x14ac:dyDescent="0.3">
      <c r="A41" s="30">
        <v>18</v>
      </c>
      <c r="B41" s="30" t="s">
        <v>26</v>
      </c>
      <c r="C41" s="30" t="s">
        <v>426</v>
      </c>
      <c r="D41" s="30">
        <v>8</v>
      </c>
      <c r="E41" s="30">
        <v>4</v>
      </c>
      <c r="F41" s="30">
        <f t="shared" si="1"/>
        <v>4</v>
      </c>
      <c r="G41" s="30" t="s">
        <v>32</v>
      </c>
      <c r="H41" s="176"/>
    </row>
    <row r="42" spans="1:8" x14ac:dyDescent="0.3">
      <c r="A42" s="30">
        <v>18</v>
      </c>
      <c r="B42" s="30" t="s">
        <v>26</v>
      </c>
      <c r="C42" s="30" t="s">
        <v>497</v>
      </c>
      <c r="D42" s="30">
        <v>12</v>
      </c>
      <c r="E42" s="30">
        <v>8</v>
      </c>
      <c r="F42" s="30">
        <f t="shared" si="1"/>
        <v>4</v>
      </c>
      <c r="G42" s="30" t="s">
        <v>32</v>
      </c>
      <c r="H42" s="176"/>
    </row>
    <row r="43" spans="1:8" x14ac:dyDescent="0.3">
      <c r="A43" s="30">
        <v>18</v>
      </c>
      <c r="B43" s="30" t="s">
        <v>26</v>
      </c>
      <c r="C43" s="30" t="s">
        <v>216</v>
      </c>
      <c r="D43" s="30">
        <v>4</v>
      </c>
      <c r="E43" s="30">
        <v>4</v>
      </c>
      <c r="F43" s="30">
        <f t="shared" si="1"/>
        <v>0</v>
      </c>
      <c r="G43" s="30" t="s">
        <v>103</v>
      </c>
      <c r="H43" s="2"/>
    </row>
    <row r="44" spans="1:8" x14ac:dyDescent="0.3">
      <c r="A44" s="30">
        <v>18</v>
      </c>
      <c r="B44" s="30" t="s">
        <v>26</v>
      </c>
      <c r="C44" s="30" t="s">
        <v>263</v>
      </c>
      <c r="D44" s="30">
        <v>4</v>
      </c>
      <c r="E44" s="30"/>
      <c r="F44" s="30">
        <f t="shared" si="1"/>
        <v>4</v>
      </c>
      <c r="G44" s="30" t="s">
        <v>103</v>
      </c>
      <c r="H44" s="2"/>
    </row>
    <row r="45" spans="1:8" x14ac:dyDescent="0.3">
      <c r="A45" s="30">
        <v>18</v>
      </c>
      <c r="B45" s="30" t="s">
        <v>502</v>
      </c>
      <c r="C45" s="30" t="s">
        <v>149</v>
      </c>
      <c r="D45" s="30">
        <v>4</v>
      </c>
      <c r="E45" s="30">
        <v>4</v>
      </c>
      <c r="F45" s="30">
        <f t="shared" si="1"/>
        <v>0</v>
      </c>
      <c r="G45" s="30" t="s">
        <v>32</v>
      </c>
      <c r="H45" s="2"/>
    </row>
    <row r="46" spans="1:8" x14ac:dyDescent="0.3">
      <c r="A46" s="30">
        <v>18</v>
      </c>
      <c r="B46" s="30" t="s">
        <v>26</v>
      </c>
      <c r="C46" s="30" t="s">
        <v>494</v>
      </c>
      <c r="D46" s="30">
        <v>4</v>
      </c>
      <c r="E46" s="30">
        <v>4</v>
      </c>
      <c r="F46" s="30">
        <f t="shared" si="1"/>
        <v>0</v>
      </c>
      <c r="G46" s="30" t="s">
        <v>32</v>
      </c>
      <c r="H46" s="2"/>
    </row>
    <row r="47" spans="1:8" x14ac:dyDescent="0.3">
      <c r="A47" s="30">
        <v>18</v>
      </c>
      <c r="B47" s="30" t="s">
        <v>26</v>
      </c>
      <c r="C47" s="30" t="s">
        <v>121</v>
      </c>
      <c r="D47" s="30">
        <v>8</v>
      </c>
      <c r="E47" s="30">
        <v>8</v>
      </c>
      <c r="F47" s="30">
        <f t="shared" si="1"/>
        <v>0</v>
      </c>
      <c r="G47" s="30" t="s">
        <v>103</v>
      </c>
      <c r="H47" s="2"/>
    </row>
    <row r="48" spans="1:8" ht="18.600000000000001" thickBot="1" x14ac:dyDescent="0.35">
      <c r="A48" s="43"/>
      <c r="B48" s="44" t="s">
        <v>18</v>
      </c>
      <c r="C48" s="44"/>
      <c r="D48" s="44"/>
      <c r="E48" s="44"/>
      <c r="F48" s="44"/>
      <c r="G48" s="45"/>
      <c r="H48" s="183"/>
    </row>
    <row r="49" spans="1:8" x14ac:dyDescent="0.3">
      <c r="A49" s="37">
        <v>18</v>
      </c>
      <c r="B49" s="37" t="s">
        <v>18</v>
      </c>
      <c r="C49" s="37" t="s">
        <v>303</v>
      </c>
      <c r="D49" s="37">
        <v>4</v>
      </c>
      <c r="E49" s="37"/>
      <c r="F49" s="37">
        <f t="shared" ref="F49:F53" si="2">D49-E49</f>
        <v>4</v>
      </c>
      <c r="G49" s="37" t="s">
        <v>103</v>
      </c>
      <c r="H49" s="2"/>
    </row>
    <row r="50" spans="1:8" x14ac:dyDescent="0.3">
      <c r="A50" s="37">
        <v>18</v>
      </c>
      <c r="B50" s="37" t="s">
        <v>52</v>
      </c>
      <c r="C50" s="37" t="s">
        <v>489</v>
      </c>
      <c r="D50" s="37">
        <v>4</v>
      </c>
      <c r="E50" s="37"/>
      <c r="F50" s="37">
        <f t="shared" si="2"/>
        <v>4</v>
      </c>
      <c r="G50" s="37" t="s">
        <v>103</v>
      </c>
      <c r="H50" s="2"/>
    </row>
    <row r="51" spans="1:8" x14ac:dyDescent="0.3">
      <c r="A51" s="30">
        <v>18</v>
      </c>
      <c r="B51" s="30" t="s">
        <v>52</v>
      </c>
      <c r="C51" s="30" t="s">
        <v>500</v>
      </c>
      <c r="D51" s="30">
        <v>12</v>
      </c>
      <c r="E51" s="30">
        <v>12</v>
      </c>
      <c r="F51" s="30">
        <f t="shared" si="2"/>
        <v>0</v>
      </c>
      <c r="G51" s="30" t="s">
        <v>103</v>
      </c>
      <c r="H51" s="2"/>
    </row>
    <row r="52" spans="1:8" x14ac:dyDescent="0.3">
      <c r="A52" s="30">
        <v>18</v>
      </c>
      <c r="B52" s="30" t="s">
        <v>52</v>
      </c>
      <c r="C52" s="30" t="s">
        <v>523</v>
      </c>
      <c r="D52" s="30">
        <v>12</v>
      </c>
      <c r="E52" s="30">
        <v>12</v>
      </c>
      <c r="F52" s="30">
        <f t="shared" si="2"/>
        <v>0</v>
      </c>
      <c r="G52" s="30" t="s">
        <v>32</v>
      </c>
      <c r="H52" s="2"/>
    </row>
    <row r="53" spans="1:8" x14ac:dyDescent="0.3">
      <c r="A53" s="30">
        <v>18</v>
      </c>
      <c r="B53" s="30" t="s">
        <v>52</v>
      </c>
      <c r="C53" s="30" t="s">
        <v>531</v>
      </c>
      <c r="D53" s="30">
        <v>28</v>
      </c>
      <c r="E53" s="30">
        <v>10</v>
      </c>
      <c r="F53" s="30">
        <f t="shared" si="2"/>
        <v>18</v>
      </c>
      <c r="G53" s="30" t="s">
        <v>32</v>
      </c>
      <c r="H53" s="2"/>
    </row>
    <row r="54" spans="1:8" ht="18.600000000000001" thickBot="1" x14ac:dyDescent="0.35">
      <c r="A54" s="43"/>
      <c r="B54" s="44" t="s">
        <v>31</v>
      </c>
      <c r="C54" s="44"/>
      <c r="D54" s="44"/>
      <c r="E54" s="44"/>
      <c r="F54" s="44"/>
      <c r="G54" s="45"/>
      <c r="H54" s="2"/>
    </row>
    <row r="55" spans="1:8" x14ac:dyDescent="0.3">
      <c r="A55" s="37">
        <v>18</v>
      </c>
      <c r="B55" s="37" t="s">
        <v>31</v>
      </c>
      <c r="C55" s="37" t="s">
        <v>215</v>
      </c>
      <c r="D55" s="37">
        <v>2</v>
      </c>
      <c r="E55" s="37">
        <v>2</v>
      </c>
      <c r="F55" s="37">
        <f t="shared" si="0"/>
        <v>0</v>
      </c>
      <c r="G55" s="37" t="s">
        <v>103</v>
      </c>
      <c r="H55" s="2"/>
    </row>
    <row r="56" spans="1:8" x14ac:dyDescent="0.3">
      <c r="A56" s="37">
        <v>18</v>
      </c>
      <c r="B56" s="37" t="s">
        <v>31</v>
      </c>
      <c r="C56" s="37" t="s">
        <v>397</v>
      </c>
      <c r="D56" s="37">
        <v>2</v>
      </c>
      <c r="E56" s="37"/>
      <c r="F56" s="37">
        <f t="shared" si="0"/>
        <v>2</v>
      </c>
      <c r="G56" s="37" t="s">
        <v>103</v>
      </c>
      <c r="H56" s="2"/>
    </row>
    <row r="57" spans="1:8" x14ac:dyDescent="0.3">
      <c r="A57" s="62">
        <v>18</v>
      </c>
      <c r="B57" s="62" t="s">
        <v>31</v>
      </c>
      <c r="C57" s="62" t="s">
        <v>171</v>
      </c>
      <c r="D57" s="62">
        <v>6</v>
      </c>
      <c r="E57" s="62">
        <v>6</v>
      </c>
      <c r="F57" s="62">
        <f t="shared" ref="F57:F59" si="3">D57-E57</f>
        <v>0</v>
      </c>
      <c r="G57" s="62" t="s">
        <v>103</v>
      </c>
      <c r="H57" s="2"/>
    </row>
    <row r="58" spans="1:8" x14ac:dyDescent="0.3">
      <c r="A58" s="30">
        <v>18</v>
      </c>
      <c r="B58" s="30" t="s">
        <v>31</v>
      </c>
      <c r="C58" s="30" t="s">
        <v>225</v>
      </c>
      <c r="D58" s="30">
        <v>2</v>
      </c>
      <c r="E58" s="30"/>
      <c r="F58" s="30">
        <f t="shared" si="3"/>
        <v>2</v>
      </c>
      <c r="G58" s="30" t="s">
        <v>103</v>
      </c>
      <c r="H58" s="2"/>
    </row>
    <row r="59" spans="1:8" x14ac:dyDescent="0.3">
      <c r="A59" s="30">
        <v>18</v>
      </c>
      <c r="B59" s="30" t="s">
        <v>31</v>
      </c>
      <c r="C59" s="30" t="s">
        <v>224</v>
      </c>
      <c r="D59" s="30">
        <v>2</v>
      </c>
      <c r="E59" s="30"/>
      <c r="F59" s="30">
        <f t="shared" si="3"/>
        <v>2</v>
      </c>
      <c r="G59" s="30" t="s">
        <v>103</v>
      </c>
      <c r="H59" s="2"/>
    </row>
    <row r="60" spans="1:8" x14ac:dyDescent="0.3">
      <c r="A60" s="30">
        <v>18</v>
      </c>
      <c r="B60" s="30" t="s">
        <v>31</v>
      </c>
      <c r="C60" s="30" t="s">
        <v>368</v>
      </c>
      <c r="D60" s="30">
        <v>6</v>
      </c>
      <c r="E60" s="30">
        <v>6</v>
      </c>
      <c r="F60" s="30">
        <f t="shared" si="0"/>
        <v>0</v>
      </c>
      <c r="G60" s="30" t="s">
        <v>32</v>
      </c>
      <c r="H60" s="2"/>
    </row>
    <row r="61" spans="1:8" x14ac:dyDescent="0.3">
      <c r="A61" s="30">
        <v>18</v>
      </c>
      <c r="B61" s="30" t="s">
        <v>31</v>
      </c>
      <c r="C61" s="30" t="s">
        <v>488</v>
      </c>
      <c r="D61" s="30">
        <v>4</v>
      </c>
      <c r="E61" s="30">
        <v>4</v>
      </c>
      <c r="F61" s="30">
        <f t="shared" si="0"/>
        <v>0</v>
      </c>
      <c r="G61" s="30" t="s">
        <v>32</v>
      </c>
      <c r="H61" s="2"/>
    </row>
    <row r="62" spans="1:8" x14ac:dyDescent="0.3">
      <c r="A62" s="30">
        <v>18</v>
      </c>
      <c r="B62" s="30" t="s">
        <v>31</v>
      </c>
      <c r="C62" s="30" t="s">
        <v>432</v>
      </c>
      <c r="D62" s="30">
        <v>4</v>
      </c>
      <c r="E62" s="30">
        <v>4</v>
      </c>
      <c r="F62" s="30">
        <f t="shared" si="0"/>
        <v>0</v>
      </c>
      <c r="G62" s="30" t="s">
        <v>32</v>
      </c>
      <c r="H62" s="2"/>
    </row>
    <row r="63" spans="1:8" ht="18.600000000000001" thickBot="1" x14ac:dyDescent="0.35">
      <c r="A63" s="43"/>
      <c r="B63" s="44" t="s">
        <v>15</v>
      </c>
      <c r="C63" s="44"/>
      <c r="D63" s="44"/>
      <c r="E63" s="44"/>
      <c r="F63" s="44"/>
      <c r="G63" s="45"/>
      <c r="H63" s="2"/>
    </row>
    <row r="64" spans="1:8" x14ac:dyDescent="0.3">
      <c r="A64" s="37">
        <v>18</v>
      </c>
      <c r="B64" s="37" t="s">
        <v>15</v>
      </c>
      <c r="C64" s="37" t="s">
        <v>115</v>
      </c>
      <c r="D64" s="37">
        <v>2</v>
      </c>
      <c r="E64" s="37"/>
      <c r="F64" s="37">
        <f t="shared" si="0"/>
        <v>2</v>
      </c>
      <c r="G64" s="37" t="s">
        <v>103</v>
      </c>
      <c r="H64" s="176">
        <v>2015</v>
      </c>
    </row>
    <row r="65" spans="1:8" x14ac:dyDescent="0.3">
      <c r="A65" s="37">
        <v>18</v>
      </c>
      <c r="B65" s="37" t="s">
        <v>15</v>
      </c>
      <c r="C65" s="37" t="s">
        <v>498</v>
      </c>
      <c r="D65" s="37">
        <v>4</v>
      </c>
      <c r="E65" s="37"/>
      <c r="F65" s="37">
        <f t="shared" si="0"/>
        <v>4</v>
      </c>
      <c r="G65" s="37" t="s">
        <v>32</v>
      </c>
      <c r="H65" s="176"/>
    </row>
    <row r="66" spans="1:8" x14ac:dyDescent="0.3">
      <c r="A66" s="37">
        <v>18</v>
      </c>
      <c r="B66" s="37" t="s">
        <v>15</v>
      </c>
      <c r="C66" s="37" t="s">
        <v>501</v>
      </c>
      <c r="D66" s="37">
        <v>4</v>
      </c>
      <c r="E66" s="37"/>
      <c r="F66" s="37">
        <f t="shared" si="0"/>
        <v>4</v>
      </c>
      <c r="G66" s="37" t="s">
        <v>32</v>
      </c>
      <c r="H66" s="176"/>
    </row>
    <row r="67" spans="1:8" x14ac:dyDescent="0.3">
      <c r="A67" s="37">
        <v>18</v>
      </c>
      <c r="B67" s="37" t="s">
        <v>15</v>
      </c>
      <c r="C67" s="37" t="s">
        <v>491</v>
      </c>
      <c r="D67" s="37">
        <v>4</v>
      </c>
      <c r="E67" s="37"/>
      <c r="F67" s="37">
        <f t="shared" si="0"/>
        <v>4</v>
      </c>
      <c r="G67" s="37" t="s">
        <v>32</v>
      </c>
      <c r="H67" s="176"/>
    </row>
    <row r="68" spans="1:8" x14ac:dyDescent="0.3">
      <c r="A68" s="37">
        <v>18</v>
      </c>
      <c r="B68" s="37" t="s">
        <v>15</v>
      </c>
      <c r="C68" s="37" t="s">
        <v>304</v>
      </c>
      <c r="D68" s="37">
        <v>4</v>
      </c>
      <c r="E68" s="37"/>
      <c r="F68" s="37">
        <f t="shared" si="0"/>
        <v>4</v>
      </c>
      <c r="G68" s="37" t="s">
        <v>103</v>
      </c>
      <c r="H68" s="2"/>
    </row>
    <row r="69" spans="1:8" x14ac:dyDescent="0.3">
      <c r="A69" s="37">
        <v>18</v>
      </c>
      <c r="B69" s="37" t="s">
        <v>15</v>
      </c>
      <c r="C69" s="37" t="s">
        <v>505</v>
      </c>
      <c r="D69" s="37">
        <v>4</v>
      </c>
      <c r="E69" s="37">
        <v>4</v>
      </c>
      <c r="F69" s="37">
        <f t="shared" si="0"/>
        <v>0</v>
      </c>
      <c r="G69" s="37" t="s">
        <v>103</v>
      </c>
      <c r="H69" s="2"/>
    </row>
    <row r="70" spans="1:8" x14ac:dyDescent="0.3">
      <c r="A70" s="37">
        <v>18</v>
      </c>
      <c r="B70" s="37" t="s">
        <v>15</v>
      </c>
      <c r="C70" s="37" t="s">
        <v>426</v>
      </c>
      <c r="D70" s="37">
        <v>8</v>
      </c>
      <c r="E70" s="37">
        <v>4</v>
      </c>
      <c r="F70" s="37">
        <f>D70-E70</f>
        <v>4</v>
      </c>
      <c r="G70" s="37" t="s">
        <v>32</v>
      </c>
      <c r="H70" s="2"/>
    </row>
    <row r="71" spans="1:8" x14ac:dyDescent="0.3">
      <c r="A71" s="37">
        <v>18</v>
      </c>
      <c r="B71" s="37" t="s">
        <v>15</v>
      </c>
      <c r="C71" s="37" t="s">
        <v>280</v>
      </c>
      <c r="D71" s="37">
        <v>2</v>
      </c>
      <c r="E71" s="37"/>
      <c r="F71" s="37">
        <f t="shared" si="0"/>
        <v>2</v>
      </c>
      <c r="G71" s="37" t="s">
        <v>103</v>
      </c>
      <c r="H71" s="2"/>
    </row>
    <row r="72" spans="1:8" x14ac:dyDescent="0.3">
      <c r="A72" s="37">
        <v>18</v>
      </c>
      <c r="B72" s="37" t="s">
        <v>15</v>
      </c>
      <c r="C72" s="37" t="s">
        <v>378</v>
      </c>
      <c r="D72" s="37">
        <v>8</v>
      </c>
      <c r="E72" s="37">
        <v>4</v>
      </c>
      <c r="F72" s="37">
        <f t="shared" si="0"/>
        <v>4</v>
      </c>
      <c r="G72" s="37" t="s">
        <v>32</v>
      </c>
      <c r="H72" s="2"/>
    </row>
    <row r="73" spans="1:8" x14ac:dyDescent="0.3">
      <c r="A73" s="37">
        <v>18</v>
      </c>
      <c r="B73" s="37" t="s">
        <v>15</v>
      </c>
      <c r="C73" s="37" t="s">
        <v>122</v>
      </c>
      <c r="D73" s="37">
        <v>8</v>
      </c>
      <c r="E73" s="37">
        <v>8</v>
      </c>
      <c r="F73" s="37">
        <f t="shared" si="0"/>
        <v>0</v>
      </c>
      <c r="G73" s="37" t="s">
        <v>32</v>
      </c>
      <c r="H73" s="2"/>
    </row>
    <row r="74" spans="1:8" x14ac:dyDescent="0.3">
      <c r="A74" s="30">
        <v>18</v>
      </c>
      <c r="B74" s="30" t="s">
        <v>15</v>
      </c>
      <c r="C74" s="30" t="s">
        <v>431</v>
      </c>
      <c r="D74" s="30">
        <v>12</v>
      </c>
      <c r="E74" s="30">
        <v>4</v>
      </c>
      <c r="F74" s="30">
        <f t="shared" si="0"/>
        <v>8</v>
      </c>
      <c r="G74" s="30" t="s">
        <v>32</v>
      </c>
      <c r="H74" s="2"/>
    </row>
    <row r="75" spans="1:8" ht="18.600000000000001" thickBot="1" x14ac:dyDescent="0.35">
      <c r="A75" s="43"/>
      <c r="B75" s="44" t="s">
        <v>19</v>
      </c>
      <c r="C75" s="44"/>
      <c r="D75" s="44"/>
      <c r="E75" s="44"/>
      <c r="F75" s="44"/>
      <c r="G75" s="45"/>
      <c r="H75" s="2"/>
    </row>
    <row r="76" spans="1:8" x14ac:dyDescent="0.3">
      <c r="A76" s="30">
        <v>18</v>
      </c>
      <c r="B76" s="30" t="s">
        <v>19</v>
      </c>
      <c r="C76" s="30" t="s">
        <v>79</v>
      </c>
      <c r="D76" s="30">
        <v>12</v>
      </c>
      <c r="E76" s="30">
        <v>8</v>
      </c>
      <c r="F76" s="30">
        <f t="shared" si="0"/>
        <v>4</v>
      </c>
      <c r="G76" s="30" t="s">
        <v>103</v>
      </c>
      <c r="H76" s="2"/>
    </row>
    <row r="77" spans="1:8" x14ac:dyDescent="0.3">
      <c r="A77" s="30">
        <v>18</v>
      </c>
      <c r="B77" s="30" t="s">
        <v>19</v>
      </c>
      <c r="C77" s="30" t="s">
        <v>76</v>
      </c>
      <c r="D77" s="30">
        <v>6</v>
      </c>
      <c r="E77" s="30">
        <v>6</v>
      </c>
      <c r="F77" s="30">
        <f t="shared" si="0"/>
        <v>0</v>
      </c>
      <c r="G77" s="30" t="s">
        <v>32</v>
      </c>
      <c r="H77" s="176">
        <v>2015</v>
      </c>
    </row>
    <row r="78" spans="1:8" x14ac:dyDescent="0.3">
      <c r="A78" s="30">
        <v>18</v>
      </c>
      <c r="B78" s="30" t="s">
        <v>19</v>
      </c>
      <c r="C78" s="30" t="s">
        <v>77</v>
      </c>
      <c r="D78" s="30">
        <v>2</v>
      </c>
      <c r="E78" s="30"/>
      <c r="F78" s="30">
        <f t="shared" si="0"/>
        <v>2</v>
      </c>
      <c r="G78" s="30" t="s">
        <v>32</v>
      </c>
      <c r="H78" s="2"/>
    </row>
    <row r="79" spans="1:8" x14ac:dyDescent="0.3">
      <c r="A79" s="30">
        <v>18</v>
      </c>
      <c r="B79" s="30" t="s">
        <v>19</v>
      </c>
      <c r="C79" s="30" t="s">
        <v>263</v>
      </c>
      <c r="D79" s="30">
        <v>12</v>
      </c>
      <c r="E79" s="30">
        <v>8</v>
      </c>
      <c r="F79" s="30">
        <f t="shared" si="0"/>
        <v>4</v>
      </c>
      <c r="G79" s="30" t="s">
        <v>103</v>
      </c>
      <c r="H79" s="2"/>
    </row>
    <row r="80" spans="1:8" x14ac:dyDescent="0.3">
      <c r="A80" s="63">
        <v>18</v>
      </c>
      <c r="B80" s="63" t="s">
        <v>19</v>
      </c>
      <c r="C80" s="63" t="s">
        <v>186</v>
      </c>
      <c r="D80" s="63">
        <v>8</v>
      </c>
      <c r="E80" s="63">
        <v>8</v>
      </c>
      <c r="F80" s="63">
        <f t="shared" si="0"/>
        <v>0</v>
      </c>
      <c r="G80" s="63" t="s">
        <v>32</v>
      </c>
      <c r="H80" s="2"/>
    </row>
    <row r="81" spans="1:9" x14ac:dyDescent="0.3">
      <c r="A81" s="63">
        <v>18</v>
      </c>
      <c r="B81" s="63" t="s">
        <v>19</v>
      </c>
      <c r="C81" s="63" t="s">
        <v>383</v>
      </c>
      <c r="D81" s="63">
        <v>8</v>
      </c>
      <c r="E81" s="171"/>
      <c r="F81" s="63">
        <f t="shared" si="0"/>
        <v>8</v>
      </c>
      <c r="G81" s="172" t="s">
        <v>32</v>
      </c>
      <c r="H81" s="176">
        <v>2019</v>
      </c>
    </row>
    <row r="82" spans="1:9" x14ac:dyDescent="0.3">
      <c r="A82" s="63">
        <v>18</v>
      </c>
      <c r="B82" s="63" t="s">
        <v>19</v>
      </c>
      <c r="C82" s="63" t="s">
        <v>461</v>
      </c>
      <c r="D82" s="63">
        <v>4</v>
      </c>
      <c r="E82" s="171"/>
      <c r="F82" s="63">
        <f t="shared" si="0"/>
        <v>4</v>
      </c>
      <c r="G82" s="172" t="s">
        <v>103</v>
      </c>
      <c r="H82" s="176"/>
    </row>
    <row r="83" spans="1:9" x14ac:dyDescent="0.3">
      <c r="A83" s="30">
        <v>18</v>
      </c>
      <c r="B83" s="30" t="s">
        <v>19</v>
      </c>
      <c r="C83" s="30" t="s">
        <v>95</v>
      </c>
      <c r="D83" s="30">
        <v>12</v>
      </c>
      <c r="E83" s="30">
        <v>8</v>
      </c>
      <c r="F83" s="30">
        <f t="shared" si="0"/>
        <v>4</v>
      </c>
      <c r="G83" s="30" t="s">
        <v>32</v>
      </c>
      <c r="H83" s="176"/>
    </row>
    <row r="84" spans="1:9" ht="18.600000000000001" thickBot="1" x14ac:dyDescent="0.35">
      <c r="A84" s="43"/>
      <c r="B84" s="44" t="s">
        <v>47</v>
      </c>
      <c r="C84" s="44"/>
      <c r="D84" s="44"/>
      <c r="E84" s="44"/>
      <c r="F84" s="44"/>
      <c r="G84" s="45"/>
      <c r="H84" s="2"/>
    </row>
    <row r="85" spans="1:9" x14ac:dyDescent="0.3">
      <c r="A85" s="63">
        <v>18</v>
      </c>
      <c r="B85" s="63" t="s">
        <v>47</v>
      </c>
      <c r="C85" s="63" t="s">
        <v>310</v>
      </c>
      <c r="D85" s="63">
        <v>2</v>
      </c>
      <c r="E85" s="63">
        <v>2</v>
      </c>
      <c r="F85" s="30">
        <f t="shared" si="0"/>
        <v>0</v>
      </c>
      <c r="G85" s="63" t="s">
        <v>103</v>
      </c>
      <c r="H85" s="2"/>
    </row>
    <row r="86" spans="1:9" x14ac:dyDescent="0.3">
      <c r="A86" s="63">
        <v>18</v>
      </c>
      <c r="B86" s="63" t="s">
        <v>47</v>
      </c>
      <c r="C86" s="63" t="s">
        <v>77</v>
      </c>
      <c r="D86" s="63">
        <v>8</v>
      </c>
      <c r="E86" s="63">
        <v>8</v>
      </c>
      <c r="F86" s="63">
        <f t="shared" si="0"/>
        <v>0</v>
      </c>
      <c r="G86" s="63" t="s">
        <v>32</v>
      </c>
      <c r="H86" s="176">
        <v>2019</v>
      </c>
    </row>
    <row r="87" spans="1:9" x14ac:dyDescent="0.3">
      <c r="A87" s="63">
        <v>18</v>
      </c>
      <c r="B87" s="63" t="s">
        <v>47</v>
      </c>
      <c r="C87" s="63" t="s">
        <v>423</v>
      </c>
      <c r="D87" s="63">
        <v>2</v>
      </c>
      <c r="E87" s="63">
        <v>2</v>
      </c>
      <c r="F87" s="63">
        <f t="shared" si="0"/>
        <v>0</v>
      </c>
      <c r="G87" s="63" t="s">
        <v>32</v>
      </c>
      <c r="H87" s="176">
        <v>2024</v>
      </c>
    </row>
    <row r="88" spans="1:9" x14ac:dyDescent="0.3">
      <c r="A88" s="63">
        <v>18</v>
      </c>
      <c r="B88" s="63" t="s">
        <v>47</v>
      </c>
      <c r="C88" s="63" t="s">
        <v>523</v>
      </c>
      <c r="D88" s="63">
        <v>28</v>
      </c>
      <c r="E88" s="63">
        <v>14</v>
      </c>
      <c r="F88" s="63">
        <f t="shared" si="0"/>
        <v>14</v>
      </c>
      <c r="G88" s="63" t="s">
        <v>32</v>
      </c>
      <c r="H88" s="176">
        <v>2025</v>
      </c>
    </row>
    <row r="89" spans="1:9" x14ac:dyDescent="0.3">
      <c r="A89" s="63">
        <v>18</v>
      </c>
      <c r="B89" s="63" t="s">
        <v>47</v>
      </c>
      <c r="C89" s="63" t="s">
        <v>434</v>
      </c>
      <c r="D89" s="63">
        <v>8</v>
      </c>
      <c r="E89" s="63">
        <v>8</v>
      </c>
      <c r="F89" s="63">
        <f t="shared" si="0"/>
        <v>0</v>
      </c>
      <c r="G89" s="63" t="s">
        <v>32</v>
      </c>
      <c r="H89" s="2"/>
    </row>
    <row r="90" spans="1:9" ht="18.600000000000001" thickBot="1" x14ac:dyDescent="0.35">
      <c r="A90" s="114"/>
      <c r="B90" s="44" t="s">
        <v>16</v>
      </c>
      <c r="C90" s="44"/>
      <c r="D90" s="44"/>
      <c r="E90" s="44"/>
      <c r="F90" s="44"/>
      <c r="G90" s="45"/>
      <c r="H90" s="2"/>
    </row>
    <row r="91" spans="1:9" x14ac:dyDescent="0.3">
      <c r="A91" s="30">
        <v>18</v>
      </c>
      <c r="B91" s="37" t="s">
        <v>16</v>
      </c>
      <c r="C91" s="37" t="s">
        <v>237</v>
      </c>
      <c r="D91" s="37">
        <v>2</v>
      </c>
      <c r="E91" s="37">
        <v>2</v>
      </c>
      <c r="F91" s="37">
        <f t="shared" ref="F91:F100" si="4">D91-E91</f>
        <v>0</v>
      </c>
      <c r="G91" s="37" t="s">
        <v>103</v>
      </c>
      <c r="H91" s="2"/>
    </row>
    <row r="92" spans="1:9" x14ac:dyDescent="0.3">
      <c r="A92" s="30">
        <v>18</v>
      </c>
      <c r="B92" s="37" t="s">
        <v>16</v>
      </c>
      <c r="C92" s="37" t="s">
        <v>450</v>
      </c>
      <c r="D92" s="37">
        <v>2</v>
      </c>
      <c r="E92" s="37">
        <v>2</v>
      </c>
      <c r="F92" s="37">
        <f t="shared" si="4"/>
        <v>0</v>
      </c>
      <c r="G92" s="37" t="s">
        <v>103</v>
      </c>
      <c r="H92" s="2"/>
    </row>
    <row r="93" spans="1:9" x14ac:dyDescent="0.3">
      <c r="A93" s="30">
        <v>18</v>
      </c>
      <c r="B93" s="37" t="s">
        <v>16</v>
      </c>
      <c r="C93" s="37" t="s">
        <v>402</v>
      </c>
      <c r="D93" s="37">
        <v>12</v>
      </c>
      <c r="E93" s="37">
        <v>12</v>
      </c>
      <c r="F93" s="37">
        <f t="shared" si="4"/>
        <v>0</v>
      </c>
      <c r="G93" s="37" t="s">
        <v>103</v>
      </c>
      <c r="H93" s="2">
        <v>2018</v>
      </c>
      <c r="I93" t="s">
        <v>475</v>
      </c>
    </row>
    <row r="94" spans="1:9" x14ac:dyDescent="0.3">
      <c r="A94" s="30">
        <v>18</v>
      </c>
      <c r="B94" s="37" t="s">
        <v>16</v>
      </c>
      <c r="C94" s="37" t="s">
        <v>212</v>
      </c>
      <c r="D94" s="37">
        <v>2</v>
      </c>
      <c r="E94" s="37"/>
      <c r="F94" s="37">
        <f t="shared" si="4"/>
        <v>2</v>
      </c>
      <c r="G94" s="37" t="s">
        <v>103</v>
      </c>
      <c r="H94" s="2"/>
    </row>
    <row r="95" spans="1:9" x14ac:dyDescent="0.3">
      <c r="A95" s="30">
        <v>18</v>
      </c>
      <c r="B95" s="37" t="s">
        <v>16</v>
      </c>
      <c r="C95" s="37" t="s">
        <v>496</v>
      </c>
      <c r="D95" s="37">
        <v>4</v>
      </c>
      <c r="E95" s="37"/>
      <c r="F95" s="37">
        <f t="shared" si="4"/>
        <v>4</v>
      </c>
      <c r="G95" s="37" t="s">
        <v>32</v>
      </c>
      <c r="H95" s="2"/>
    </row>
    <row r="96" spans="1:9" x14ac:dyDescent="0.3">
      <c r="A96" s="30">
        <v>18</v>
      </c>
      <c r="B96" s="37" t="s">
        <v>16</v>
      </c>
      <c r="C96" s="37" t="s">
        <v>393</v>
      </c>
      <c r="D96" s="37">
        <v>6</v>
      </c>
      <c r="E96" s="37">
        <v>6</v>
      </c>
      <c r="F96" s="37">
        <f t="shared" si="4"/>
        <v>0</v>
      </c>
      <c r="G96" s="37" t="s">
        <v>103</v>
      </c>
      <c r="H96" s="2"/>
    </row>
    <row r="97" spans="1:8" x14ac:dyDescent="0.3">
      <c r="A97" s="30">
        <v>18</v>
      </c>
      <c r="B97" s="30" t="s">
        <v>16</v>
      </c>
      <c r="C97" s="30" t="s">
        <v>524</v>
      </c>
      <c r="D97" s="30">
        <v>16</v>
      </c>
      <c r="E97" s="30">
        <v>16</v>
      </c>
      <c r="F97" s="37">
        <f t="shared" si="4"/>
        <v>0</v>
      </c>
      <c r="G97" s="30" t="s">
        <v>32</v>
      </c>
      <c r="H97" s="176"/>
    </row>
    <row r="98" spans="1:8" x14ac:dyDescent="0.3">
      <c r="A98" s="30">
        <v>18</v>
      </c>
      <c r="B98" s="30" t="s">
        <v>16</v>
      </c>
      <c r="C98" s="30" t="s">
        <v>536</v>
      </c>
      <c r="D98" s="30">
        <v>4</v>
      </c>
      <c r="E98" s="30">
        <v>4</v>
      </c>
      <c r="F98" s="37">
        <f t="shared" si="4"/>
        <v>0</v>
      </c>
      <c r="G98" s="30" t="s">
        <v>103</v>
      </c>
      <c r="H98" s="176"/>
    </row>
    <row r="99" spans="1:8" x14ac:dyDescent="0.3">
      <c r="A99" s="30">
        <v>18</v>
      </c>
      <c r="B99" s="30" t="s">
        <v>16</v>
      </c>
      <c r="C99" s="30" t="s">
        <v>532</v>
      </c>
      <c r="D99" s="30">
        <v>20</v>
      </c>
      <c r="E99" s="30">
        <v>4</v>
      </c>
      <c r="F99" s="37">
        <f t="shared" si="4"/>
        <v>16</v>
      </c>
      <c r="G99" s="30" t="s">
        <v>32</v>
      </c>
      <c r="H99" s="176"/>
    </row>
    <row r="100" spans="1:8" x14ac:dyDescent="0.3">
      <c r="A100" s="30">
        <v>18</v>
      </c>
      <c r="B100" s="30" t="s">
        <v>16</v>
      </c>
      <c r="C100" s="30" t="s">
        <v>431</v>
      </c>
      <c r="D100" s="30">
        <v>8</v>
      </c>
      <c r="E100" s="30">
        <v>8</v>
      </c>
      <c r="F100" s="30">
        <f t="shared" si="4"/>
        <v>0</v>
      </c>
      <c r="G100" s="30" t="s">
        <v>32</v>
      </c>
      <c r="H100" s="176"/>
    </row>
    <row r="101" spans="1:8" ht="18.600000000000001" thickBot="1" x14ac:dyDescent="0.35">
      <c r="A101" s="43"/>
      <c r="B101" s="44" t="s">
        <v>30</v>
      </c>
      <c r="C101" s="44"/>
      <c r="D101" s="44"/>
      <c r="E101" s="44"/>
      <c r="F101" s="44"/>
      <c r="G101" s="45"/>
      <c r="H101" s="2"/>
    </row>
    <row r="102" spans="1:8" x14ac:dyDescent="0.3">
      <c r="A102" s="30">
        <v>18</v>
      </c>
      <c r="B102" s="30" t="s">
        <v>30</v>
      </c>
      <c r="C102" s="30" t="s">
        <v>133</v>
      </c>
      <c r="D102" s="30">
        <v>6</v>
      </c>
      <c r="E102" s="30">
        <v>4</v>
      </c>
      <c r="F102" s="30">
        <f t="shared" si="0"/>
        <v>2</v>
      </c>
      <c r="G102" s="30" t="s">
        <v>103</v>
      </c>
      <c r="H102" s="2"/>
    </row>
    <row r="103" spans="1:8" x14ac:dyDescent="0.3">
      <c r="A103" s="30">
        <v>18</v>
      </c>
      <c r="B103" s="30" t="s">
        <v>30</v>
      </c>
      <c r="C103" s="30" t="s">
        <v>248</v>
      </c>
      <c r="D103" s="30">
        <v>2</v>
      </c>
      <c r="E103" s="30"/>
      <c r="F103" s="30">
        <f t="shared" si="0"/>
        <v>2</v>
      </c>
      <c r="G103" s="30" t="s">
        <v>103</v>
      </c>
      <c r="H103" s="2"/>
    </row>
    <row r="104" spans="1:8" x14ac:dyDescent="0.3">
      <c r="A104" s="30">
        <v>18</v>
      </c>
      <c r="B104" s="30" t="s">
        <v>30</v>
      </c>
      <c r="C104" s="30" t="s">
        <v>496</v>
      </c>
      <c r="D104" s="30">
        <v>4</v>
      </c>
      <c r="E104" s="30">
        <v>4</v>
      </c>
      <c r="F104" s="30">
        <f t="shared" si="0"/>
        <v>0</v>
      </c>
      <c r="G104" s="30" t="s">
        <v>32</v>
      </c>
      <c r="H104" s="2"/>
    </row>
    <row r="105" spans="1:8" x14ac:dyDescent="0.3">
      <c r="A105" s="30">
        <v>18</v>
      </c>
      <c r="B105" s="30" t="s">
        <v>30</v>
      </c>
      <c r="C105" s="30" t="s">
        <v>463</v>
      </c>
      <c r="D105" s="30">
        <v>4</v>
      </c>
      <c r="E105" s="30">
        <v>4</v>
      </c>
      <c r="F105" s="30">
        <f t="shared" si="0"/>
        <v>0</v>
      </c>
      <c r="G105" s="30" t="s">
        <v>103</v>
      </c>
      <c r="H105" s="2" t="s">
        <v>462</v>
      </c>
    </row>
    <row r="106" spans="1:8" x14ac:dyDescent="0.3">
      <c r="A106" s="30">
        <v>18</v>
      </c>
      <c r="B106" s="30" t="s">
        <v>30</v>
      </c>
      <c r="C106" s="30" t="s">
        <v>149</v>
      </c>
      <c r="D106" s="30">
        <v>4</v>
      </c>
      <c r="E106" s="30">
        <v>4</v>
      </c>
      <c r="F106" s="30">
        <f t="shared" si="0"/>
        <v>0</v>
      </c>
      <c r="G106" s="30" t="s">
        <v>32</v>
      </c>
      <c r="H106" s="2"/>
    </row>
    <row r="107" spans="1:8" x14ac:dyDescent="0.3">
      <c r="A107" s="30">
        <v>18</v>
      </c>
      <c r="B107" s="30" t="s">
        <v>492</v>
      </c>
      <c r="C107" s="30" t="s">
        <v>493</v>
      </c>
      <c r="D107" s="30">
        <v>8</v>
      </c>
      <c r="E107" s="30">
        <v>8</v>
      </c>
      <c r="F107" s="30">
        <f t="shared" ref="F107:F112" si="5">D107-E107</f>
        <v>0</v>
      </c>
      <c r="G107" s="30" t="s">
        <v>32</v>
      </c>
      <c r="H107" s="2"/>
    </row>
    <row r="108" spans="1:8" x14ac:dyDescent="0.3">
      <c r="A108" s="30">
        <v>18</v>
      </c>
      <c r="B108" s="30" t="s">
        <v>436</v>
      </c>
      <c r="C108" s="30" t="s">
        <v>523</v>
      </c>
      <c r="D108" s="30">
        <v>8</v>
      </c>
      <c r="E108" s="30">
        <v>8</v>
      </c>
      <c r="F108" s="30">
        <f t="shared" si="5"/>
        <v>0</v>
      </c>
      <c r="G108" s="30" t="s">
        <v>32</v>
      </c>
      <c r="H108" s="176">
        <v>2025</v>
      </c>
    </row>
    <row r="109" spans="1:8" x14ac:dyDescent="0.3">
      <c r="A109" s="30">
        <v>18</v>
      </c>
      <c r="B109" s="30" t="s">
        <v>105</v>
      </c>
      <c r="C109" s="30" t="s">
        <v>536</v>
      </c>
      <c r="D109" s="30">
        <v>4</v>
      </c>
      <c r="E109" s="30">
        <v>4</v>
      </c>
      <c r="F109" s="30">
        <f t="shared" si="5"/>
        <v>0</v>
      </c>
      <c r="G109" s="30" t="s">
        <v>32</v>
      </c>
      <c r="H109" s="176"/>
    </row>
    <row r="110" spans="1:8" x14ac:dyDescent="0.3">
      <c r="A110" s="30">
        <v>18</v>
      </c>
      <c r="B110" s="30" t="s">
        <v>105</v>
      </c>
      <c r="C110" s="30" t="s">
        <v>524</v>
      </c>
      <c r="D110" s="30">
        <v>10</v>
      </c>
      <c r="E110" s="30">
        <v>10</v>
      </c>
      <c r="F110" s="30">
        <f t="shared" si="5"/>
        <v>0</v>
      </c>
      <c r="G110" s="30" t="s">
        <v>32</v>
      </c>
      <c r="H110" s="176"/>
    </row>
    <row r="111" spans="1:8" x14ac:dyDescent="0.3">
      <c r="A111" s="30">
        <v>18</v>
      </c>
      <c r="B111" s="30" t="s">
        <v>45</v>
      </c>
      <c r="C111" s="30" t="s">
        <v>228</v>
      </c>
      <c r="D111" s="30">
        <v>4</v>
      </c>
      <c r="E111" s="30"/>
      <c r="F111" s="30">
        <f t="shared" si="5"/>
        <v>4</v>
      </c>
      <c r="G111" s="30" t="s">
        <v>103</v>
      </c>
      <c r="H111" s="2"/>
    </row>
    <row r="112" spans="1:8" x14ac:dyDescent="0.3">
      <c r="A112" s="30">
        <v>18</v>
      </c>
      <c r="B112" s="30" t="s">
        <v>45</v>
      </c>
      <c r="C112" s="30" t="s">
        <v>260</v>
      </c>
      <c r="D112" s="30">
        <v>8</v>
      </c>
      <c r="E112" s="30">
        <v>8</v>
      </c>
      <c r="F112" s="30">
        <f t="shared" si="5"/>
        <v>0</v>
      </c>
      <c r="G112" s="30" t="s">
        <v>103</v>
      </c>
      <c r="H112" s="2" t="s">
        <v>347</v>
      </c>
    </row>
    <row r="113" spans="1:8" ht="18.600000000000001" thickBot="1" x14ac:dyDescent="0.35">
      <c r="A113" s="43"/>
      <c r="B113" s="44" t="s">
        <v>14</v>
      </c>
      <c r="C113" s="44"/>
      <c r="D113" s="44"/>
      <c r="E113" s="44"/>
      <c r="F113" s="44"/>
      <c r="G113" s="45"/>
      <c r="H113" s="6"/>
    </row>
    <row r="114" spans="1:8" x14ac:dyDescent="0.3">
      <c r="A114" s="30">
        <v>18</v>
      </c>
      <c r="B114" s="30" t="s">
        <v>14</v>
      </c>
      <c r="C114" s="30" t="s">
        <v>75</v>
      </c>
      <c r="D114" s="63">
        <v>4</v>
      </c>
      <c r="E114" s="30">
        <v>4</v>
      </c>
      <c r="F114" s="63">
        <f t="shared" ref="F114:F115" si="6">D114-E114</f>
        <v>0</v>
      </c>
      <c r="G114" s="30" t="s">
        <v>32</v>
      </c>
      <c r="H114" s="2"/>
    </row>
    <row r="115" spans="1:8" x14ac:dyDescent="0.3">
      <c r="A115" s="30">
        <v>18</v>
      </c>
      <c r="B115" s="30" t="s">
        <v>104</v>
      </c>
      <c r="C115" s="30" t="s">
        <v>279</v>
      </c>
      <c r="D115" s="63">
        <v>2</v>
      </c>
      <c r="E115" s="30"/>
      <c r="F115" s="63">
        <f t="shared" si="6"/>
        <v>2</v>
      </c>
      <c r="G115" s="30" t="s">
        <v>32</v>
      </c>
      <c r="H115" s="2"/>
    </row>
    <row r="116" spans="1:8" x14ac:dyDescent="0.3">
      <c r="A116" s="63">
        <v>18</v>
      </c>
      <c r="B116" s="63" t="s">
        <v>104</v>
      </c>
      <c r="C116" s="63" t="s">
        <v>77</v>
      </c>
      <c r="D116" s="63">
        <v>10</v>
      </c>
      <c r="E116" s="63">
        <v>10</v>
      </c>
      <c r="F116" s="63">
        <f t="shared" si="0"/>
        <v>0</v>
      </c>
      <c r="G116" s="63" t="s">
        <v>32</v>
      </c>
      <c r="H116" s="2"/>
    </row>
    <row r="117" spans="1:8" x14ac:dyDescent="0.3">
      <c r="A117" s="63">
        <v>18</v>
      </c>
      <c r="B117" s="63" t="s">
        <v>539</v>
      </c>
      <c r="C117" s="63" t="s">
        <v>524</v>
      </c>
      <c r="D117" s="63">
        <v>8</v>
      </c>
      <c r="E117" s="63">
        <v>4</v>
      </c>
      <c r="F117" s="63">
        <f t="shared" si="0"/>
        <v>4</v>
      </c>
      <c r="G117" s="63" t="s">
        <v>32</v>
      </c>
      <c r="H117" s="2"/>
    </row>
    <row r="118" spans="1:8" x14ac:dyDescent="0.3">
      <c r="A118" s="63">
        <v>18</v>
      </c>
      <c r="B118" s="63" t="s">
        <v>96</v>
      </c>
      <c r="C118" s="63" t="s">
        <v>287</v>
      </c>
      <c r="D118" s="63">
        <v>2</v>
      </c>
      <c r="E118" s="63"/>
      <c r="F118" s="63">
        <f t="shared" si="0"/>
        <v>2</v>
      </c>
      <c r="G118" s="63" t="s">
        <v>32</v>
      </c>
      <c r="H118" s="2"/>
    </row>
    <row r="119" spans="1:8" x14ac:dyDescent="0.3">
      <c r="A119" s="63">
        <v>18</v>
      </c>
      <c r="B119" s="63" t="s">
        <v>96</v>
      </c>
      <c r="C119" s="63" t="s">
        <v>76</v>
      </c>
      <c r="D119" s="63">
        <v>22</v>
      </c>
      <c r="E119" s="63">
        <v>18</v>
      </c>
      <c r="F119" s="63">
        <f t="shared" si="0"/>
        <v>4</v>
      </c>
      <c r="G119" s="63" t="s">
        <v>32</v>
      </c>
      <c r="H119" s="2" t="s">
        <v>295</v>
      </c>
    </row>
    <row r="120" spans="1:8" x14ac:dyDescent="0.3">
      <c r="A120" s="63">
        <v>18</v>
      </c>
      <c r="B120" s="63" t="s">
        <v>96</v>
      </c>
      <c r="C120" s="63" t="s">
        <v>495</v>
      </c>
      <c r="D120" s="63">
        <v>4</v>
      </c>
      <c r="E120" s="63">
        <v>4</v>
      </c>
      <c r="F120" s="63">
        <f t="shared" si="0"/>
        <v>0</v>
      </c>
      <c r="G120" s="63" t="s">
        <v>32</v>
      </c>
      <c r="H120" s="2"/>
    </row>
    <row r="121" spans="1:8" x14ac:dyDescent="0.3">
      <c r="A121" s="63">
        <v>18</v>
      </c>
      <c r="B121" s="63" t="s">
        <v>96</v>
      </c>
      <c r="C121" s="63" t="s">
        <v>293</v>
      </c>
      <c r="D121" s="63">
        <v>4</v>
      </c>
      <c r="E121" s="63">
        <v>4</v>
      </c>
      <c r="F121" s="63">
        <f t="shared" si="0"/>
        <v>0</v>
      </c>
      <c r="G121" s="63" t="s">
        <v>32</v>
      </c>
      <c r="H121" s="2" t="s">
        <v>294</v>
      </c>
    </row>
    <row r="122" spans="1:8" x14ac:dyDescent="0.3">
      <c r="A122" s="30">
        <v>18</v>
      </c>
      <c r="B122" s="30" t="s">
        <v>96</v>
      </c>
      <c r="C122" s="30" t="s">
        <v>95</v>
      </c>
      <c r="D122" s="30">
        <v>12</v>
      </c>
      <c r="E122" s="30">
        <v>10</v>
      </c>
      <c r="F122" s="30">
        <f t="shared" si="0"/>
        <v>2</v>
      </c>
      <c r="G122" s="30" t="s">
        <v>50</v>
      </c>
      <c r="H122" s="2"/>
    </row>
    <row r="123" spans="1:8" x14ac:dyDescent="0.3">
      <c r="A123" s="30">
        <v>18</v>
      </c>
      <c r="B123" s="30" t="s">
        <v>96</v>
      </c>
      <c r="C123" s="30" t="s">
        <v>464</v>
      </c>
      <c r="D123" s="30">
        <v>4</v>
      </c>
      <c r="E123" s="30"/>
      <c r="F123" s="30">
        <f t="shared" si="0"/>
        <v>4</v>
      </c>
      <c r="G123" s="30" t="s">
        <v>103</v>
      </c>
      <c r="H123" s="176">
        <v>2019</v>
      </c>
    </row>
    <row r="124" spans="1:8" ht="18" x14ac:dyDescent="0.3">
      <c r="A124" s="114"/>
      <c r="B124" s="113" t="s">
        <v>49</v>
      </c>
      <c r="C124" s="113"/>
      <c r="D124" s="113"/>
      <c r="E124" s="113"/>
      <c r="F124" s="113"/>
      <c r="G124" s="115"/>
      <c r="H124" s="2"/>
    </row>
    <row r="125" spans="1:8" x14ac:dyDescent="0.3">
      <c r="A125" s="30">
        <v>18</v>
      </c>
      <c r="B125" s="30" t="s">
        <v>49</v>
      </c>
      <c r="C125" s="30" t="s">
        <v>76</v>
      </c>
      <c r="D125" s="30">
        <v>4</v>
      </c>
      <c r="E125" s="30"/>
      <c r="F125" s="30">
        <f t="shared" si="0"/>
        <v>4</v>
      </c>
      <c r="G125" s="30" t="s">
        <v>32</v>
      </c>
      <c r="H125" s="2"/>
    </row>
    <row r="126" spans="1:8" x14ac:dyDescent="0.3">
      <c r="A126" s="30">
        <v>18</v>
      </c>
      <c r="B126" s="30" t="s">
        <v>37</v>
      </c>
      <c r="C126" s="30" t="s">
        <v>524</v>
      </c>
      <c r="D126" s="30">
        <v>16</v>
      </c>
      <c r="E126" s="30">
        <v>16</v>
      </c>
      <c r="F126" s="30">
        <f t="shared" si="0"/>
        <v>0</v>
      </c>
      <c r="G126" s="30" t="s">
        <v>32</v>
      </c>
      <c r="H126" s="2"/>
    </row>
    <row r="127" spans="1:8" x14ac:dyDescent="0.3">
      <c r="A127" s="30">
        <v>18</v>
      </c>
      <c r="B127" s="30" t="s">
        <v>37</v>
      </c>
      <c r="C127" s="30" t="s">
        <v>446</v>
      </c>
      <c r="D127" s="30">
        <v>4</v>
      </c>
      <c r="E127" s="30">
        <v>4</v>
      </c>
      <c r="F127" s="30">
        <f t="shared" si="0"/>
        <v>0</v>
      </c>
      <c r="G127" s="30" t="s">
        <v>32</v>
      </c>
      <c r="H127" s="2"/>
    </row>
    <row r="128" spans="1:8" x14ac:dyDescent="0.3">
      <c r="A128" s="30">
        <v>18</v>
      </c>
      <c r="B128" s="30" t="s">
        <v>181</v>
      </c>
      <c r="C128" s="30" t="s">
        <v>77</v>
      </c>
      <c r="D128" s="30">
        <v>2</v>
      </c>
      <c r="E128" s="30"/>
      <c r="F128" s="30">
        <f t="shared" si="0"/>
        <v>2</v>
      </c>
      <c r="G128" s="30" t="s">
        <v>32</v>
      </c>
      <c r="H128" s="2"/>
    </row>
    <row r="129" spans="1:8" x14ac:dyDescent="0.3">
      <c r="A129" s="30">
        <v>18</v>
      </c>
      <c r="B129" s="30" t="s">
        <v>162</v>
      </c>
      <c r="C129" s="30" t="s">
        <v>149</v>
      </c>
      <c r="D129" s="30">
        <v>12</v>
      </c>
      <c r="E129" s="30">
        <v>12</v>
      </c>
      <c r="F129" s="30">
        <f t="shared" si="0"/>
        <v>0</v>
      </c>
      <c r="G129" s="30" t="s">
        <v>32</v>
      </c>
      <c r="H129" s="2" t="s">
        <v>392</v>
      </c>
    </row>
    <row r="130" spans="1:8" ht="15" thickBot="1" x14ac:dyDescent="0.35">
      <c r="A130" s="50"/>
      <c r="B130" s="50"/>
      <c r="C130" s="26" t="s">
        <v>42</v>
      </c>
      <c r="D130" s="101">
        <f>SUM(D2:D129)</f>
        <v>894</v>
      </c>
      <c r="E130" s="17">
        <f>SUM(E2:E124)</f>
        <v>594</v>
      </c>
      <c r="F130" s="69">
        <f>SUM(F2:F129)</f>
        <v>268</v>
      </c>
      <c r="G130" s="3"/>
      <c r="H130" s="2"/>
    </row>
    <row r="131" spans="1:8" x14ac:dyDescent="0.3">
      <c r="H131" s="2"/>
    </row>
    <row r="132" spans="1:8" x14ac:dyDescent="0.3">
      <c r="H132" s="2"/>
    </row>
  </sheetData>
  <sortState xmlns:xlrd2="http://schemas.microsoft.com/office/spreadsheetml/2017/richdata2" ref="A2:G22">
    <sortCondition ref="B2"/>
  </sortState>
  <pageMargins left="0.7" right="0.7" top="0.75" bottom="0.75" header="0.3" footer="0.3"/>
  <pageSetup paperSize="9" scale="8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topLeftCell="A13" zoomScale="130" zoomScaleNormal="130" workbookViewId="0">
      <selection activeCell="I32" sqref="I32"/>
    </sheetView>
  </sheetViews>
  <sheetFormatPr defaultColWidth="9.109375" defaultRowHeight="14.4" x14ac:dyDescent="0.3"/>
  <cols>
    <col min="1" max="1" width="5.109375" style="3" customWidth="1"/>
    <col min="2" max="2" width="8.6640625" style="3" customWidth="1"/>
    <col min="3" max="3" width="29.88671875" style="3" customWidth="1"/>
    <col min="4" max="4" width="6.88671875" style="3" customWidth="1"/>
    <col min="5" max="5" width="7" style="3" customWidth="1"/>
    <col min="6" max="6" width="7.33203125" style="3" customWidth="1"/>
    <col min="7" max="7" width="16.44140625" style="3" customWidth="1"/>
    <col min="8" max="16384" width="9.109375" style="3"/>
  </cols>
  <sheetData>
    <row r="1" spans="1: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50"/>
    </row>
    <row r="2" spans="1:8" x14ac:dyDescent="0.3">
      <c r="A2" s="165"/>
      <c r="B2" s="165"/>
      <c r="C2" s="165"/>
      <c r="D2" s="165"/>
      <c r="E2" s="165"/>
      <c r="F2" s="165"/>
      <c r="G2" s="165"/>
      <c r="H2" s="50"/>
    </row>
    <row r="3" spans="1:8" x14ac:dyDescent="0.3">
      <c r="A3" s="26">
        <v>19</v>
      </c>
      <c r="B3" s="26" t="s">
        <v>29</v>
      </c>
      <c r="C3" s="102" t="s">
        <v>435</v>
      </c>
      <c r="D3" s="26">
        <v>4</v>
      </c>
      <c r="E3" s="26">
        <v>2</v>
      </c>
      <c r="F3" s="26">
        <f t="shared" ref="F3:F10" si="0">D3-E3</f>
        <v>2</v>
      </c>
      <c r="G3" s="26" t="s">
        <v>33</v>
      </c>
      <c r="H3" s="50">
        <v>2025</v>
      </c>
    </row>
    <row r="4" spans="1:8" x14ac:dyDescent="0.3">
      <c r="A4" s="26">
        <v>19</v>
      </c>
      <c r="B4" s="26" t="s">
        <v>29</v>
      </c>
      <c r="C4" s="102" t="s">
        <v>523</v>
      </c>
      <c r="D4" s="26">
        <v>8</v>
      </c>
      <c r="E4" s="26">
        <v>8</v>
      </c>
      <c r="F4" s="26">
        <f t="shared" si="0"/>
        <v>0</v>
      </c>
      <c r="G4" s="26" t="s">
        <v>32</v>
      </c>
      <c r="H4" s="50">
        <v>2025</v>
      </c>
    </row>
    <row r="5" spans="1:8" x14ac:dyDescent="0.3">
      <c r="A5" s="26">
        <v>19</v>
      </c>
      <c r="B5" s="26" t="s">
        <v>21</v>
      </c>
      <c r="C5" s="102" t="s">
        <v>435</v>
      </c>
      <c r="D5" s="26">
        <v>8</v>
      </c>
      <c r="E5" s="26">
        <v>4</v>
      </c>
      <c r="F5" s="26">
        <f t="shared" si="0"/>
        <v>4</v>
      </c>
      <c r="G5" s="26" t="s">
        <v>33</v>
      </c>
      <c r="H5" s="50"/>
    </row>
    <row r="6" spans="1:8" x14ac:dyDescent="0.3">
      <c r="A6" s="26">
        <v>19</v>
      </c>
      <c r="B6" s="26" t="s">
        <v>25</v>
      </c>
      <c r="C6" s="102" t="s">
        <v>477</v>
      </c>
      <c r="D6" s="26">
        <v>16</v>
      </c>
      <c r="E6" s="26">
        <v>4</v>
      </c>
      <c r="F6" s="26">
        <f t="shared" si="0"/>
        <v>12</v>
      </c>
      <c r="G6" s="26" t="s">
        <v>33</v>
      </c>
      <c r="H6" s="50">
        <v>2022</v>
      </c>
    </row>
    <row r="7" spans="1:8" x14ac:dyDescent="0.3">
      <c r="A7" s="26">
        <v>19</v>
      </c>
      <c r="B7" s="26" t="s">
        <v>533</v>
      </c>
      <c r="C7" s="102" t="s">
        <v>530</v>
      </c>
      <c r="D7" s="26">
        <v>12</v>
      </c>
      <c r="E7" s="26">
        <v>8</v>
      </c>
      <c r="F7" s="26">
        <f t="shared" si="0"/>
        <v>4</v>
      </c>
      <c r="G7" s="26" t="s">
        <v>33</v>
      </c>
      <c r="H7" s="50">
        <v>2025</v>
      </c>
    </row>
    <row r="8" spans="1:8" x14ac:dyDescent="0.3">
      <c r="A8" s="26">
        <v>19</v>
      </c>
      <c r="B8" s="26" t="s">
        <v>533</v>
      </c>
      <c r="C8" s="102" t="s">
        <v>523</v>
      </c>
      <c r="D8" s="26">
        <v>8</v>
      </c>
      <c r="E8" s="26">
        <v>8</v>
      </c>
      <c r="F8" s="26">
        <f t="shared" si="0"/>
        <v>0</v>
      </c>
      <c r="G8" s="26" t="s">
        <v>32</v>
      </c>
      <c r="H8" s="50">
        <v>2025</v>
      </c>
    </row>
    <row r="9" spans="1:8" x14ac:dyDescent="0.3">
      <c r="A9" s="26">
        <v>19</v>
      </c>
      <c r="B9" s="26" t="s">
        <v>31</v>
      </c>
      <c r="C9" s="102" t="s">
        <v>524</v>
      </c>
      <c r="D9" s="26">
        <v>16</v>
      </c>
      <c r="E9" s="26">
        <v>16</v>
      </c>
      <c r="F9" s="26">
        <f t="shared" si="0"/>
        <v>0</v>
      </c>
      <c r="G9" s="26" t="s">
        <v>32</v>
      </c>
      <c r="H9" s="50"/>
    </row>
    <row r="10" spans="1:8" x14ac:dyDescent="0.3">
      <c r="A10" s="26">
        <v>19</v>
      </c>
      <c r="B10" s="26" t="s">
        <v>31</v>
      </c>
      <c r="C10" s="102" t="s">
        <v>274</v>
      </c>
      <c r="D10" s="26">
        <v>2</v>
      </c>
      <c r="E10" s="26"/>
      <c r="F10" s="26">
        <f t="shared" si="0"/>
        <v>2</v>
      </c>
      <c r="G10" s="26" t="s">
        <v>33</v>
      </c>
      <c r="H10" s="50"/>
    </row>
    <row r="11" spans="1:8" ht="15.75" customHeight="1" x14ac:dyDescent="0.3">
      <c r="A11" s="73"/>
      <c r="B11" s="73" t="s">
        <v>15</v>
      </c>
      <c r="C11" s="73"/>
      <c r="D11" s="73"/>
      <c r="E11" s="73"/>
      <c r="F11" s="73"/>
      <c r="G11" s="73"/>
      <c r="H11" s="50"/>
    </row>
    <row r="12" spans="1:8" x14ac:dyDescent="0.3">
      <c r="A12" s="26">
        <v>19</v>
      </c>
      <c r="B12" s="26" t="s">
        <v>15</v>
      </c>
      <c r="C12" s="102" t="s">
        <v>466</v>
      </c>
      <c r="D12" s="26">
        <v>4</v>
      </c>
      <c r="E12" s="26"/>
      <c r="F12" s="26">
        <f t="shared" ref="F12:F31" si="1">D12-E12</f>
        <v>4</v>
      </c>
      <c r="G12" s="26" t="s">
        <v>33</v>
      </c>
      <c r="H12" s="50"/>
    </row>
    <row r="13" spans="1:8" x14ac:dyDescent="0.3">
      <c r="A13" s="26">
        <v>19</v>
      </c>
      <c r="B13" s="26" t="s">
        <v>15</v>
      </c>
      <c r="C13" s="102" t="s">
        <v>470</v>
      </c>
      <c r="D13" s="26">
        <v>4</v>
      </c>
      <c r="E13" s="26">
        <v>4</v>
      </c>
      <c r="F13" s="26">
        <f t="shared" si="1"/>
        <v>0</v>
      </c>
      <c r="G13" s="26" t="s">
        <v>33</v>
      </c>
      <c r="H13" s="50"/>
    </row>
    <row r="14" spans="1:8" x14ac:dyDescent="0.3">
      <c r="A14" s="26">
        <v>19</v>
      </c>
      <c r="B14" s="26" t="s">
        <v>15</v>
      </c>
      <c r="C14" s="102" t="s">
        <v>394</v>
      </c>
      <c r="D14" s="28">
        <v>4</v>
      </c>
      <c r="E14" s="26">
        <v>4</v>
      </c>
      <c r="F14" s="26">
        <f t="shared" si="1"/>
        <v>0</v>
      </c>
      <c r="G14" s="26" t="s">
        <v>72</v>
      </c>
      <c r="H14" s="50"/>
    </row>
    <row r="15" spans="1:8" x14ac:dyDescent="0.3">
      <c r="A15" s="26">
        <v>19</v>
      </c>
      <c r="B15" s="26" t="s">
        <v>15</v>
      </c>
      <c r="C15" s="102" t="s">
        <v>486</v>
      </c>
      <c r="D15" s="28">
        <v>4</v>
      </c>
      <c r="E15" s="26">
        <v>4</v>
      </c>
      <c r="F15" s="26">
        <f t="shared" si="1"/>
        <v>0</v>
      </c>
      <c r="G15" s="26" t="s">
        <v>72</v>
      </c>
      <c r="H15" s="50"/>
    </row>
    <row r="16" spans="1:8" x14ac:dyDescent="0.3">
      <c r="A16" s="26">
        <v>19</v>
      </c>
      <c r="B16" s="26" t="s">
        <v>15</v>
      </c>
      <c r="C16" s="102" t="s">
        <v>410</v>
      </c>
      <c r="D16" s="28">
        <v>4</v>
      </c>
      <c r="E16" s="26">
        <v>4</v>
      </c>
      <c r="F16" s="26">
        <f t="shared" si="1"/>
        <v>0</v>
      </c>
      <c r="G16" s="26" t="s">
        <v>72</v>
      </c>
      <c r="H16" s="50"/>
    </row>
    <row r="17" spans="1:8" x14ac:dyDescent="0.3">
      <c r="A17" s="26">
        <v>19</v>
      </c>
      <c r="B17" s="26" t="s">
        <v>15</v>
      </c>
      <c r="C17" s="102" t="s">
        <v>487</v>
      </c>
      <c r="D17" s="28">
        <v>4</v>
      </c>
      <c r="E17" s="26">
        <v>4</v>
      </c>
      <c r="F17" s="26">
        <f t="shared" si="1"/>
        <v>0</v>
      </c>
      <c r="G17" s="26" t="s">
        <v>72</v>
      </c>
      <c r="H17" s="50"/>
    </row>
    <row r="18" spans="1:8" x14ac:dyDescent="0.3">
      <c r="A18" s="26">
        <v>19</v>
      </c>
      <c r="B18" s="26" t="s">
        <v>15</v>
      </c>
      <c r="C18" s="102" t="s">
        <v>488</v>
      </c>
      <c r="D18" s="28">
        <v>4</v>
      </c>
      <c r="E18" s="26">
        <v>4</v>
      </c>
      <c r="F18" s="26">
        <f t="shared" si="1"/>
        <v>0</v>
      </c>
      <c r="G18" s="26" t="s">
        <v>72</v>
      </c>
      <c r="H18" s="50"/>
    </row>
    <row r="19" spans="1:8" x14ac:dyDescent="0.3">
      <c r="A19" s="26">
        <v>19</v>
      </c>
      <c r="B19" s="26" t="s">
        <v>20</v>
      </c>
      <c r="C19" s="102" t="s">
        <v>263</v>
      </c>
      <c r="D19" s="28">
        <v>4</v>
      </c>
      <c r="E19" s="26"/>
      <c r="F19" s="26">
        <f t="shared" si="1"/>
        <v>4</v>
      </c>
      <c r="G19" s="26" t="s">
        <v>33</v>
      </c>
      <c r="H19" s="50"/>
    </row>
    <row r="20" spans="1:8" x14ac:dyDescent="0.3">
      <c r="A20" s="26">
        <v>19</v>
      </c>
      <c r="B20" s="26" t="s">
        <v>47</v>
      </c>
      <c r="C20" s="102" t="s">
        <v>530</v>
      </c>
      <c r="D20" s="28">
        <v>20</v>
      </c>
      <c r="E20" s="26">
        <v>20</v>
      </c>
      <c r="F20" s="26">
        <f t="shared" si="1"/>
        <v>0</v>
      </c>
      <c r="G20" s="26" t="s">
        <v>33</v>
      </c>
      <c r="H20" s="50">
        <v>2024</v>
      </c>
    </row>
    <row r="21" spans="1:8" x14ac:dyDescent="0.3">
      <c r="A21" s="26">
        <v>19</v>
      </c>
      <c r="B21" s="26" t="s">
        <v>47</v>
      </c>
      <c r="C21" s="102" t="s">
        <v>437</v>
      </c>
      <c r="D21" s="28">
        <v>10</v>
      </c>
      <c r="E21" s="26">
        <v>10</v>
      </c>
      <c r="F21" s="26">
        <f t="shared" si="1"/>
        <v>0</v>
      </c>
      <c r="G21" s="26" t="s">
        <v>33</v>
      </c>
      <c r="H21" s="50"/>
    </row>
    <row r="22" spans="1:8" x14ac:dyDescent="0.3">
      <c r="A22" s="26">
        <v>19</v>
      </c>
      <c r="B22" s="26" t="s">
        <v>47</v>
      </c>
      <c r="C22" s="102" t="s">
        <v>445</v>
      </c>
      <c r="D22" s="28">
        <v>4</v>
      </c>
      <c r="E22" s="26">
        <v>2</v>
      </c>
      <c r="F22" s="26">
        <f t="shared" si="1"/>
        <v>2</v>
      </c>
      <c r="G22" s="26" t="s">
        <v>32</v>
      </c>
      <c r="H22" s="50"/>
    </row>
    <row r="23" spans="1:8" x14ac:dyDescent="0.3">
      <c r="A23" s="26">
        <v>19</v>
      </c>
      <c r="B23" s="26" t="s">
        <v>47</v>
      </c>
      <c r="C23" s="102" t="s">
        <v>528</v>
      </c>
      <c r="D23" s="28">
        <v>8</v>
      </c>
      <c r="E23" s="26">
        <v>4</v>
      </c>
      <c r="F23" s="26">
        <f t="shared" si="1"/>
        <v>4</v>
      </c>
      <c r="G23" s="26" t="s">
        <v>32</v>
      </c>
      <c r="H23" s="50">
        <v>2023</v>
      </c>
    </row>
    <row r="24" spans="1:8" x14ac:dyDescent="0.3">
      <c r="A24" s="26">
        <v>19</v>
      </c>
      <c r="B24" s="26" t="s">
        <v>47</v>
      </c>
      <c r="C24" s="102" t="s">
        <v>523</v>
      </c>
      <c r="D24" s="28">
        <v>16</v>
      </c>
      <c r="E24" s="26">
        <v>16</v>
      </c>
      <c r="F24" s="26">
        <f t="shared" si="1"/>
        <v>0</v>
      </c>
      <c r="G24" s="26" t="s">
        <v>32</v>
      </c>
      <c r="H24" s="50">
        <v>2025</v>
      </c>
    </row>
    <row r="25" spans="1:8" x14ac:dyDescent="0.3">
      <c r="A25" s="26">
        <v>19</v>
      </c>
      <c r="B25" s="26" t="s">
        <v>47</v>
      </c>
      <c r="C25" s="102" t="s">
        <v>465</v>
      </c>
      <c r="D25" s="28">
        <v>2</v>
      </c>
      <c r="E25" s="26">
        <v>2</v>
      </c>
      <c r="F25" s="26">
        <f t="shared" si="1"/>
        <v>0</v>
      </c>
      <c r="G25" s="26" t="s">
        <v>33</v>
      </c>
      <c r="H25" s="50"/>
    </row>
    <row r="26" spans="1:8" x14ac:dyDescent="0.3">
      <c r="A26" s="26">
        <v>19</v>
      </c>
      <c r="B26" s="26" t="s">
        <v>16</v>
      </c>
      <c r="C26" s="102" t="s">
        <v>530</v>
      </c>
      <c r="D26" s="28">
        <v>18</v>
      </c>
      <c r="E26" s="26">
        <v>2</v>
      </c>
      <c r="F26" s="26">
        <f t="shared" si="1"/>
        <v>16</v>
      </c>
      <c r="G26" s="26" t="s">
        <v>33</v>
      </c>
      <c r="H26" s="50"/>
    </row>
    <row r="27" spans="1:8" x14ac:dyDescent="0.3">
      <c r="A27" s="26">
        <v>19</v>
      </c>
      <c r="B27" s="26" t="s">
        <v>16</v>
      </c>
      <c r="C27" s="102" t="s">
        <v>526</v>
      </c>
      <c r="D27" s="28">
        <v>8</v>
      </c>
      <c r="E27" s="26"/>
      <c r="F27" s="26">
        <f t="shared" si="1"/>
        <v>8</v>
      </c>
      <c r="G27" s="26" t="s">
        <v>33</v>
      </c>
      <c r="H27" s="50"/>
    </row>
    <row r="28" spans="1:8" x14ac:dyDescent="0.3">
      <c r="A28" s="26">
        <v>19</v>
      </c>
      <c r="B28" s="26" t="s">
        <v>16</v>
      </c>
      <c r="C28" s="102" t="s">
        <v>534</v>
      </c>
      <c r="D28" s="28">
        <v>28</v>
      </c>
      <c r="E28" s="26">
        <v>26</v>
      </c>
      <c r="F28" s="28">
        <f t="shared" si="1"/>
        <v>2</v>
      </c>
      <c r="G28" s="26" t="s">
        <v>32</v>
      </c>
      <c r="H28" s="50"/>
    </row>
    <row r="29" spans="1:8" x14ac:dyDescent="0.3">
      <c r="A29" s="26">
        <v>19</v>
      </c>
      <c r="B29" s="26" t="s">
        <v>16</v>
      </c>
      <c r="C29" s="102" t="s">
        <v>437</v>
      </c>
      <c r="D29" s="28">
        <v>10</v>
      </c>
      <c r="E29" s="26">
        <v>10</v>
      </c>
      <c r="F29" s="28">
        <f t="shared" si="1"/>
        <v>0</v>
      </c>
      <c r="G29" s="26" t="s">
        <v>33</v>
      </c>
      <c r="H29" s="50"/>
    </row>
    <row r="30" spans="1:8" x14ac:dyDescent="0.3">
      <c r="A30" s="26">
        <v>19</v>
      </c>
      <c r="B30" s="26" t="s">
        <v>436</v>
      </c>
      <c r="C30" s="102" t="s">
        <v>435</v>
      </c>
      <c r="D30" s="28">
        <v>8</v>
      </c>
      <c r="E30" s="26">
        <v>2</v>
      </c>
      <c r="F30" s="28">
        <f t="shared" si="1"/>
        <v>6</v>
      </c>
      <c r="G30" s="26" t="s">
        <v>33</v>
      </c>
      <c r="H30" s="50">
        <v>2025</v>
      </c>
    </row>
    <row r="31" spans="1:8" x14ac:dyDescent="0.3">
      <c r="A31" s="26">
        <v>19</v>
      </c>
      <c r="B31" s="26" t="s">
        <v>436</v>
      </c>
      <c r="C31" s="102" t="s">
        <v>523</v>
      </c>
      <c r="D31" s="28">
        <v>8</v>
      </c>
      <c r="E31" s="26">
        <v>8</v>
      </c>
      <c r="F31" s="28">
        <f t="shared" si="1"/>
        <v>0</v>
      </c>
      <c r="G31" s="26" t="s">
        <v>32</v>
      </c>
      <c r="H31" s="50">
        <v>2025</v>
      </c>
    </row>
    <row r="32" spans="1:8" x14ac:dyDescent="0.3">
      <c r="A32" s="73"/>
      <c r="B32" s="73" t="s">
        <v>41</v>
      </c>
      <c r="C32" s="73"/>
      <c r="D32" s="105"/>
      <c r="E32" s="73"/>
      <c r="F32" s="105"/>
      <c r="G32" s="73"/>
      <c r="H32" s="50"/>
    </row>
    <row r="33" spans="1:8" x14ac:dyDescent="0.3">
      <c r="A33" s="30">
        <v>19</v>
      </c>
      <c r="B33" s="30" t="s">
        <v>105</v>
      </c>
      <c r="C33" s="102" t="s">
        <v>523</v>
      </c>
      <c r="D33" s="63">
        <v>4</v>
      </c>
      <c r="E33" s="30">
        <v>4</v>
      </c>
      <c r="F33" s="28">
        <f t="shared" ref="F33:F41" si="2">D33-E33</f>
        <v>0</v>
      </c>
      <c r="G33" s="30" t="s">
        <v>32</v>
      </c>
      <c r="H33" s="50">
        <v>2025</v>
      </c>
    </row>
    <row r="34" spans="1:8" x14ac:dyDescent="0.3">
      <c r="A34" s="30">
        <v>19</v>
      </c>
      <c r="B34" s="30" t="s">
        <v>105</v>
      </c>
      <c r="C34" s="102" t="s">
        <v>435</v>
      </c>
      <c r="D34" s="63">
        <v>4</v>
      </c>
      <c r="E34" s="30">
        <v>4</v>
      </c>
      <c r="F34" s="28">
        <f t="shared" si="2"/>
        <v>0</v>
      </c>
      <c r="G34" s="30" t="s">
        <v>33</v>
      </c>
      <c r="H34" s="50"/>
    </row>
    <row r="35" spans="1:8" x14ac:dyDescent="0.3">
      <c r="A35" s="30">
        <v>19</v>
      </c>
      <c r="B35" s="30" t="s">
        <v>105</v>
      </c>
      <c r="C35" s="102" t="s">
        <v>530</v>
      </c>
      <c r="D35" s="63">
        <v>8</v>
      </c>
      <c r="E35" s="30">
        <v>4</v>
      </c>
      <c r="F35" s="28">
        <f t="shared" si="2"/>
        <v>4</v>
      </c>
      <c r="G35" s="30" t="s">
        <v>33</v>
      </c>
      <c r="H35" s="50"/>
    </row>
    <row r="36" spans="1:8" x14ac:dyDescent="0.3">
      <c r="A36" s="30">
        <v>19</v>
      </c>
      <c r="B36" s="30" t="s">
        <v>105</v>
      </c>
      <c r="C36" s="102" t="s">
        <v>468</v>
      </c>
      <c r="D36" s="63">
        <v>4</v>
      </c>
      <c r="E36" s="30"/>
      <c r="F36" s="28">
        <f t="shared" si="2"/>
        <v>4</v>
      </c>
      <c r="G36" s="30" t="s">
        <v>33</v>
      </c>
      <c r="H36" s="50"/>
    </row>
    <row r="37" spans="1:8" x14ac:dyDescent="0.3">
      <c r="A37" s="30">
        <v>19</v>
      </c>
      <c r="B37" s="30" t="s">
        <v>45</v>
      </c>
      <c r="C37" s="102" t="s">
        <v>394</v>
      </c>
      <c r="D37" s="63">
        <v>4</v>
      </c>
      <c r="E37" s="30">
        <v>4</v>
      </c>
      <c r="F37" s="28">
        <f t="shared" si="2"/>
        <v>0</v>
      </c>
      <c r="G37" s="30" t="s">
        <v>50</v>
      </c>
      <c r="H37" s="50">
        <v>2021</v>
      </c>
    </row>
    <row r="38" spans="1:8" x14ac:dyDescent="0.3">
      <c r="A38" s="30">
        <v>19</v>
      </c>
      <c r="B38" s="30" t="s">
        <v>45</v>
      </c>
      <c r="C38" s="102" t="s">
        <v>524</v>
      </c>
      <c r="D38" s="63">
        <v>4</v>
      </c>
      <c r="E38" s="30">
        <v>4</v>
      </c>
      <c r="F38" s="28">
        <f t="shared" si="2"/>
        <v>0</v>
      </c>
      <c r="G38" s="30" t="s">
        <v>32</v>
      </c>
      <c r="H38" s="50"/>
    </row>
    <row r="39" spans="1:8" x14ac:dyDescent="0.3">
      <c r="A39" s="30">
        <v>19</v>
      </c>
      <c r="B39" s="30" t="s">
        <v>41</v>
      </c>
      <c r="C39" s="102" t="s">
        <v>437</v>
      </c>
      <c r="D39" s="63">
        <v>2</v>
      </c>
      <c r="E39" s="30"/>
      <c r="F39" s="28">
        <f t="shared" si="2"/>
        <v>2</v>
      </c>
      <c r="G39" s="30" t="s">
        <v>33</v>
      </c>
      <c r="H39" s="50">
        <v>2025</v>
      </c>
    </row>
    <row r="40" spans="1:8" x14ac:dyDescent="0.3">
      <c r="A40" s="26">
        <v>19</v>
      </c>
      <c r="B40" s="26" t="s">
        <v>41</v>
      </c>
      <c r="C40" s="102" t="s">
        <v>122</v>
      </c>
      <c r="D40" s="28">
        <v>4</v>
      </c>
      <c r="E40" s="26">
        <v>4</v>
      </c>
      <c r="F40" s="28">
        <f t="shared" si="2"/>
        <v>0</v>
      </c>
      <c r="G40" s="26" t="s">
        <v>32</v>
      </c>
      <c r="H40" s="50">
        <v>2018</v>
      </c>
    </row>
    <row r="41" spans="1:8" x14ac:dyDescent="0.3">
      <c r="A41" s="26">
        <v>19</v>
      </c>
      <c r="B41" s="26" t="s">
        <v>41</v>
      </c>
      <c r="C41" s="102" t="s">
        <v>92</v>
      </c>
      <c r="D41" s="28">
        <v>4</v>
      </c>
      <c r="E41" s="26">
        <v>4</v>
      </c>
      <c r="F41" s="28">
        <f t="shared" si="2"/>
        <v>0</v>
      </c>
      <c r="G41" s="26" t="s">
        <v>91</v>
      </c>
      <c r="H41" s="50" t="s">
        <v>270</v>
      </c>
    </row>
    <row r="42" spans="1:8" x14ac:dyDescent="0.3">
      <c r="A42" s="28">
        <v>19</v>
      </c>
      <c r="B42" s="28" t="s">
        <v>14</v>
      </c>
      <c r="C42" s="156" t="s">
        <v>77</v>
      </c>
      <c r="D42" s="28">
        <v>12</v>
      </c>
      <c r="E42" s="28">
        <v>12</v>
      </c>
      <c r="F42" s="28">
        <f t="shared" ref="F42:F52" si="3">D42-E42</f>
        <v>0</v>
      </c>
      <c r="G42" s="28" t="s">
        <v>32</v>
      </c>
      <c r="H42" s="50"/>
    </row>
    <row r="43" spans="1:8" x14ac:dyDescent="0.3">
      <c r="A43" s="28">
        <v>19</v>
      </c>
      <c r="B43" s="28" t="s">
        <v>438</v>
      </c>
      <c r="C43" s="156" t="s">
        <v>530</v>
      </c>
      <c r="D43" s="28">
        <v>12</v>
      </c>
      <c r="E43" s="28">
        <v>12</v>
      </c>
      <c r="F43" s="28">
        <f t="shared" si="3"/>
        <v>0</v>
      </c>
      <c r="G43" s="28" t="s">
        <v>33</v>
      </c>
      <c r="H43" s="50"/>
    </row>
    <row r="44" spans="1:8" x14ac:dyDescent="0.3">
      <c r="A44" s="28">
        <v>19</v>
      </c>
      <c r="B44" s="28" t="s">
        <v>438</v>
      </c>
      <c r="C44" s="156" t="s">
        <v>523</v>
      </c>
      <c r="D44" s="28">
        <v>16</v>
      </c>
      <c r="E44" s="28">
        <v>16</v>
      </c>
      <c r="F44" s="28">
        <f t="shared" si="3"/>
        <v>0</v>
      </c>
      <c r="G44" s="28" t="s">
        <v>32</v>
      </c>
      <c r="H44" s="50"/>
    </row>
    <row r="45" spans="1:8" x14ac:dyDescent="0.3">
      <c r="A45" s="28">
        <v>19</v>
      </c>
      <c r="B45" s="28" t="s">
        <v>438</v>
      </c>
      <c r="C45" s="156" t="s">
        <v>437</v>
      </c>
      <c r="D45" s="28">
        <v>6</v>
      </c>
      <c r="E45" s="28">
        <v>6</v>
      </c>
      <c r="F45" s="28">
        <f t="shared" si="3"/>
        <v>0</v>
      </c>
      <c r="G45" s="28" t="s">
        <v>33</v>
      </c>
      <c r="H45" s="50"/>
    </row>
    <row r="46" spans="1:8" x14ac:dyDescent="0.3">
      <c r="A46" s="28">
        <v>19</v>
      </c>
      <c r="B46" s="28" t="s">
        <v>37</v>
      </c>
      <c r="C46" s="156" t="s">
        <v>523</v>
      </c>
      <c r="D46" s="28">
        <v>12</v>
      </c>
      <c r="E46" s="28">
        <v>10</v>
      </c>
      <c r="F46" s="28">
        <f t="shared" si="3"/>
        <v>2</v>
      </c>
      <c r="G46" s="28" t="s">
        <v>32</v>
      </c>
      <c r="H46" s="50"/>
    </row>
    <row r="47" spans="1:8" x14ac:dyDescent="0.3">
      <c r="A47" s="28">
        <v>19</v>
      </c>
      <c r="B47" s="28" t="s">
        <v>37</v>
      </c>
      <c r="C47" s="156" t="s">
        <v>437</v>
      </c>
      <c r="D47" s="28">
        <v>6</v>
      </c>
      <c r="E47" s="28">
        <v>6</v>
      </c>
      <c r="F47" s="28">
        <f t="shared" si="3"/>
        <v>0</v>
      </c>
      <c r="G47" s="28" t="s">
        <v>33</v>
      </c>
      <c r="H47" s="50"/>
    </row>
    <row r="48" spans="1:8" x14ac:dyDescent="0.3">
      <c r="A48" s="26">
        <v>19</v>
      </c>
      <c r="B48" s="26" t="s">
        <v>37</v>
      </c>
      <c r="C48" s="102" t="s">
        <v>530</v>
      </c>
      <c r="D48" s="26">
        <v>10</v>
      </c>
      <c r="E48" s="26">
        <v>2</v>
      </c>
      <c r="F48" s="26">
        <f t="shared" si="3"/>
        <v>8</v>
      </c>
      <c r="G48" s="26" t="s">
        <v>33</v>
      </c>
      <c r="H48" s="50"/>
    </row>
    <row r="49" spans="1:8" x14ac:dyDescent="0.3">
      <c r="A49" s="26">
        <v>19</v>
      </c>
      <c r="B49" s="26" t="s">
        <v>440</v>
      </c>
      <c r="C49" s="102" t="s">
        <v>437</v>
      </c>
      <c r="D49" s="26">
        <v>2</v>
      </c>
      <c r="E49" s="26"/>
      <c r="F49" s="26">
        <f t="shared" si="3"/>
        <v>2</v>
      </c>
      <c r="G49" s="26" t="s">
        <v>33</v>
      </c>
      <c r="H49" s="50">
        <v>2025</v>
      </c>
    </row>
    <row r="50" spans="1:8" x14ac:dyDescent="0.3">
      <c r="A50" s="26">
        <v>19</v>
      </c>
      <c r="B50" s="26" t="s">
        <v>469</v>
      </c>
      <c r="C50" s="102" t="s">
        <v>263</v>
      </c>
      <c r="D50" s="26">
        <v>2</v>
      </c>
      <c r="E50" s="26"/>
      <c r="F50" s="26">
        <f t="shared" si="3"/>
        <v>2</v>
      </c>
      <c r="G50" s="26" t="s">
        <v>33</v>
      </c>
      <c r="H50" s="50"/>
    </row>
    <row r="51" spans="1:8" x14ac:dyDescent="0.3">
      <c r="A51" s="26">
        <v>19</v>
      </c>
      <c r="B51" s="26" t="s">
        <v>469</v>
      </c>
      <c r="C51" s="102" t="s">
        <v>471</v>
      </c>
      <c r="D51" s="26">
        <v>4</v>
      </c>
      <c r="E51" s="26"/>
      <c r="F51" s="26">
        <f t="shared" si="3"/>
        <v>4</v>
      </c>
      <c r="G51" s="26" t="s">
        <v>33</v>
      </c>
      <c r="H51" s="50"/>
    </row>
    <row r="52" spans="1:8" x14ac:dyDescent="0.3">
      <c r="A52" s="26">
        <v>19</v>
      </c>
      <c r="B52" s="26" t="s">
        <v>102</v>
      </c>
      <c r="C52" s="102" t="s">
        <v>263</v>
      </c>
      <c r="D52" s="26">
        <v>4</v>
      </c>
      <c r="E52" s="26"/>
      <c r="F52" s="26">
        <f t="shared" si="3"/>
        <v>4</v>
      </c>
      <c r="G52" s="26" t="s">
        <v>33</v>
      </c>
      <c r="H52" s="50"/>
    </row>
    <row r="53" spans="1:8" ht="15" thickBot="1" x14ac:dyDescent="0.35">
      <c r="D53" s="68">
        <f>SUM(D2:D52)</f>
        <v>370</v>
      </c>
      <c r="E53" s="68">
        <f>SUM(E2:E52)</f>
        <v>268</v>
      </c>
      <c r="F53" s="69">
        <f>SUM(F2:F52)</f>
        <v>102</v>
      </c>
    </row>
  </sheetData>
  <sortState xmlns:xlrd2="http://schemas.microsoft.com/office/spreadsheetml/2017/richdata2" ref="A2:G21">
    <sortCondition ref="B2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7"/>
  <sheetViews>
    <sheetView topLeftCell="A46" zoomScale="96" zoomScaleNormal="96" workbookViewId="0">
      <selection activeCell="G66" sqref="G66"/>
    </sheetView>
  </sheetViews>
  <sheetFormatPr defaultColWidth="9.109375" defaultRowHeight="14.4" x14ac:dyDescent="0.3"/>
  <cols>
    <col min="1" max="1" width="8.5546875" style="2" customWidth="1"/>
    <col min="2" max="2" width="17.88671875" style="2" customWidth="1"/>
    <col min="3" max="3" width="48" style="2" customWidth="1"/>
    <col min="4" max="5" width="8.6640625" style="2" customWidth="1"/>
    <col min="6" max="6" width="9.109375" style="2" customWidth="1"/>
    <col min="7" max="7" width="21.33203125" style="2" customWidth="1"/>
    <col min="8" max="16384" width="9.109375" style="2"/>
  </cols>
  <sheetData>
    <row r="1" spans="1:8" s="9" customFormat="1" ht="21.6" thickBot="1" x14ac:dyDescent="0.4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</row>
    <row r="2" spans="1:8" s="9" customFormat="1" ht="18.75" customHeight="1" thickBot="1" x14ac:dyDescent="0.45">
      <c r="A2" s="85"/>
      <c r="B2" s="86"/>
      <c r="C2" s="86"/>
      <c r="D2" s="86"/>
      <c r="E2" s="86"/>
      <c r="F2" s="86"/>
      <c r="G2" s="87"/>
    </row>
    <row r="3" spans="1:8" s="9" customFormat="1" ht="21" x14ac:dyDescent="0.4">
      <c r="A3" s="117">
        <v>20</v>
      </c>
      <c r="B3" s="117" t="s">
        <v>52</v>
      </c>
      <c r="C3" s="152" t="s">
        <v>128</v>
      </c>
      <c r="D3" s="117">
        <v>6</v>
      </c>
      <c r="E3" s="117">
        <v>4</v>
      </c>
      <c r="F3" s="117">
        <f t="shared" ref="F3:F18" si="0">D3-E3</f>
        <v>2</v>
      </c>
      <c r="G3" s="117" t="s">
        <v>32</v>
      </c>
    </row>
    <row r="4" spans="1:8" s="9" customFormat="1" ht="21" x14ac:dyDescent="0.4">
      <c r="A4" s="117">
        <v>20</v>
      </c>
      <c r="B4" s="117" t="s">
        <v>15</v>
      </c>
      <c r="C4" s="152" t="s">
        <v>401</v>
      </c>
      <c r="D4" s="117">
        <v>4</v>
      </c>
      <c r="E4" s="117"/>
      <c r="F4" s="117">
        <f t="shared" si="0"/>
        <v>4</v>
      </c>
      <c r="G4" s="117" t="s">
        <v>32</v>
      </c>
      <c r="H4" s="9" t="s">
        <v>192</v>
      </c>
    </row>
    <row r="5" spans="1:8" s="9" customFormat="1" ht="21" x14ac:dyDescent="0.4">
      <c r="A5" s="117">
        <v>20</v>
      </c>
      <c r="B5" s="117" t="s">
        <v>15</v>
      </c>
      <c r="C5" s="152" t="s">
        <v>485</v>
      </c>
      <c r="D5" s="117">
        <v>4</v>
      </c>
      <c r="E5" s="117"/>
      <c r="F5" s="117">
        <f t="shared" si="0"/>
        <v>4</v>
      </c>
      <c r="G5" s="117" t="s">
        <v>32</v>
      </c>
    </row>
    <row r="6" spans="1:8" s="9" customFormat="1" ht="21" x14ac:dyDescent="0.4">
      <c r="A6" s="117">
        <v>20</v>
      </c>
      <c r="B6" s="117" t="s">
        <v>15</v>
      </c>
      <c r="C6" s="152" t="s">
        <v>524</v>
      </c>
      <c r="D6" s="117">
        <v>8</v>
      </c>
      <c r="E6" s="117"/>
      <c r="F6" s="117">
        <f t="shared" si="0"/>
        <v>8</v>
      </c>
      <c r="G6" s="117" t="s">
        <v>32</v>
      </c>
    </row>
    <row r="7" spans="1:8" s="9" customFormat="1" ht="21" x14ac:dyDescent="0.4">
      <c r="A7" s="117">
        <v>20</v>
      </c>
      <c r="B7" s="117" t="s">
        <v>448</v>
      </c>
      <c r="C7" s="152" t="s">
        <v>447</v>
      </c>
      <c r="D7" s="117">
        <v>4</v>
      </c>
      <c r="E7" s="117">
        <v>4</v>
      </c>
      <c r="F7" s="117">
        <f t="shared" si="0"/>
        <v>0</v>
      </c>
      <c r="G7" s="117" t="s">
        <v>33</v>
      </c>
    </row>
    <row r="8" spans="1:8" s="9" customFormat="1" ht="21" x14ac:dyDescent="0.4">
      <c r="A8" s="117">
        <v>20</v>
      </c>
      <c r="B8" s="117" t="s">
        <v>47</v>
      </c>
      <c r="C8" s="152" t="s">
        <v>523</v>
      </c>
      <c r="D8" s="117">
        <v>12</v>
      </c>
      <c r="E8" s="117">
        <v>12</v>
      </c>
      <c r="F8" s="117">
        <f t="shared" si="0"/>
        <v>0</v>
      </c>
      <c r="G8" s="117" t="s">
        <v>32</v>
      </c>
    </row>
    <row r="9" spans="1:8" s="9" customFormat="1" ht="21" x14ac:dyDescent="0.4">
      <c r="A9" s="117">
        <v>20</v>
      </c>
      <c r="B9" s="117" t="s">
        <v>47</v>
      </c>
      <c r="C9" s="152" t="s">
        <v>437</v>
      </c>
      <c r="D9" s="117">
        <v>6</v>
      </c>
      <c r="E9" s="117">
        <v>6</v>
      </c>
      <c r="F9" s="117">
        <f t="shared" si="0"/>
        <v>0</v>
      </c>
      <c r="G9" s="117" t="s">
        <v>33</v>
      </c>
    </row>
    <row r="10" spans="1:8" s="9" customFormat="1" ht="21" x14ac:dyDescent="0.4">
      <c r="A10" s="117">
        <v>20</v>
      </c>
      <c r="B10" s="117" t="s">
        <v>47</v>
      </c>
      <c r="C10" s="152" t="s">
        <v>530</v>
      </c>
      <c r="D10" s="117">
        <v>10</v>
      </c>
      <c r="E10" s="117">
        <v>10</v>
      </c>
      <c r="F10" s="117">
        <f t="shared" si="0"/>
        <v>0</v>
      </c>
      <c r="G10" s="117" t="s">
        <v>33</v>
      </c>
    </row>
    <row r="11" spans="1:8" s="9" customFormat="1" ht="21" x14ac:dyDescent="0.4">
      <c r="A11" s="117">
        <v>20</v>
      </c>
      <c r="B11" s="117" t="s">
        <v>16</v>
      </c>
      <c r="C11" s="152" t="s">
        <v>530</v>
      </c>
      <c r="D11" s="117">
        <v>12</v>
      </c>
      <c r="E11" s="117">
        <v>6</v>
      </c>
      <c r="F11" s="117">
        <f t="shared" si="0"/>
        <v>6</v>
      </c>
      <c r="G11" s="117" t="s">
        <v>33</v>
      </c>
    </row>
    <row r="12" spans="1:8" s="9" customFormat="1" ht="21" x14ac:dyDescent="0.4">
      <c r="A12" s="117">
        <v>20</v>
      </c>
      <c r="B12" s="117" t="s">
        <v>16</v>
      </c>
      <c r="C12" s="152" t="s">
        <v>532</v>
      </c>
      <c r="D12" s="117">
        <v>16</v>
      </c>
      <c r="E12" s="117">
        <v>8</v>
      </c>
      <c r="F12" s="117">
        <f t="shared" si="0"/>
        <v>8</v>
      </c>
      <c r="G12" s="117" t="s">
        <v>32</v>
      </c>
    </row>
    <row r="13" spans="1:8" s="9" customFormat="1" ht="21" x14ac:dyDescent="0.4">
      <c r="A13" s="117">
        <v>20</v>
      </c>
      <c r="B13" s="117" t="s">
        <v>16</v>
      </c>
      <c r="C13" s="152" t="s">
        <v>437</v>
      </c>
      <c r="D13" s="117">
        <v>4</v>
      </c>
      <c r="E13" s="117">
        <v>4</v>
      </c>
      <c r="F13" s="117">
        <f t="shared" si="0"/>
        <v>0</v>
      </c>
      <c r="G13" s="117" t="s">
        <v>33</v>
      </c>
    </row>
    <row r="14" spans="1:8" s="9" customFormat="1" ht="21" x14ac:dyDescent="0.4">
      <c r="A14" s="117">
        <v>20</v>
      </c>
      <c r="B14" s="117" t="s">
        <v>16</v>
      </c>
      <c r="C14" s="152" t="s">
        <v>534</v>
      </c>
      <c r="D14" s="117">
        <v>4</v>
      </c>
      <c r="E14" s="117"/>
      <c r="F14" s="117">
        <f t="shared" si="0"/>
        <v>4</v>
      </c>
      <c r="G14" s="117" t="s">
        <v>32</v>
      </c>
    </row>
    <row r="15" spans="1:8" s="9" customFormat="1" ht="21" x14ac:dyDescent="0.4">
      <c r="A15" s="117">
        <v>20</v>
      </c>
      <c r="B15" s="117" t="s">
        <v>16</v>
      </c>
      <c r="C15" s="152" t="s">
        <v>263</v>
      </c>
      <c r="D15" s="117">
        <v>2</v>
      </c>
      <c r="E15" s="117"/>
      <c r="F15" s="117">
        <f t="shared" si="0"/>
        <v>2</v>
      </c>
      <c r="G15" s="117" t="s">
        <v>33</v>
      </c>
    </row>
    <row r="16" spans="1:8" s="9" customFormat="1" ht="21" x14ac:dyDescent="0.4">
      <c r="A16" s="88">
        <v>20</v>
      </c>
      <c r="B16" s="88" t="s">
        <v>30</v>
      </c>
      <c r="C16" s="153" t="s">
        <v>435</v>
      </c>
      <c r="D16" s="88">
        <v>4</v>
      </c>
      <c r="E16" s="88">
        <v>4</v>
      </c>
      <c r="F16" s="117">
        <f t="shared" si="0"/>
        <v>0</v>
      </c>
      <c r="G16" s="88" t="s">
        <v>33</v>
      </c>
    </row>
    <row r="17" spans="1:9" s="9" customFormat="1" ht="21" x14ac:dyDescent="0.4">
      <c r="A17" s="88">
        <v>20</v>
      </c>
      <c r="B17" s="88" t="s">
        <v>436</v>
      </c>
      <c r="C17" s="153" t="s">
        <v>547</v>
      </c>
      <c r="D17" s="88">
        <v>8</v>
      </c>
      <c r="E17" s="88">
        <v>8</v>
      </c>
      <c r="F17" s="117">
        <f t="shared" si="0"/>
        <v>0</v>
      </c>
      <c r="G17" s="88" t="s">
        <v>32</v>
      </c>
    </row>
    <row r="18" spans="1:9" s="9" customFormat="1" ht="21" x14ac:dyDescent="0.4">
      <c r="A18" s="88">
        <v>20</v>
      </c>
      <c r="B18" s="88" t="s">
        <v>436</v>
      </c>
      <c r="C18" s="153" t="s">
        <v>435</v>
      </c>
      <c r="D18" s="88">
        <v>8</v>
      </c>
      <c r="E18" s="88">
        <v>4</v>
      </c>
      <c r="F18" s="117">
        <f t="shared" si="0"/>
        <v>4</v>
      </c>
      <c r="G18" s="88" t="s">
        <v>33</v>
      </c>
    </row>
    <row r="19" spans="1:9" s="9" customFormat="1" ht="21" x14ac:dyDescent="0.4">
      <c r="A19" s="89"/>
      <c r="B19" s="90" t="s">
        <v>45</v>
      </c>
      <c r="C19" s="90"/>
      <c r="D19" s="90"/>
      <c r="E19" s="90"/>
      <c r="F19" s="90"/>
      <c r="G19" s="91"/>
    </row>
    <row r="20" spans="1:9" s="81" customFormat="1" ht="26.25" customHeight="1" x14ac:dyDescent="0.35">
      <c r="A20" s="88">
        <v>20</v>
      </c>
      <c r="B20" s="88" t="s">
        <v>45</v>
      </c>
      <c r="C20" s="153" t="s">
        <v>524</v>
      </c>
      <c r="D20" s="88">
        <v>16</v>
      </c>
      <c r="E20" s="88">
        <v>4</v>
      </c>
      <c r="F20" s="88">
        <f>D20-E20</f>
        <v>12</v>
      </c>
      <c r="G20" s="88" t="s">
        <v>32</v>
      </c>
    </row>
    <row r="21" spans="1:9" s="81" customFormat="1" ht="26.25" customHeight="1" x14ac:dyDescent="0.35">
      <c r="A21" s="88">
        <v>20</v>
      </c>
      <c r="B21" s="88" t="s">
        <v>41</v>
      </c>
      <c r="C21" s="153" t="s">
        <v>437</v>
      </c>
      <c r="D21" s="88">
        <v>8</v>
      </c>
      <c r="E21" s="88">
        <v>8</v>
      </c>
      <c r="F21" s="88">
        <f>D21-E21</f>
        <v>0</v>
      </c>
      <c r="G21" s="88" t="s">
        <v>33</v>
      </c>
    </row>
    <row r="22" spans="1:9" s="81" customFormat="1" ht="26.25" customHeight="1" x14ac:dyDescent="0.35">
      <c r="A22" s="88">
        <v>20</v>
      </c>
      <c r="B22" s="88" t="s">
        <v>14</v>
      </c>
      <c r="C22" s="153" t="s">
        <v>545</v>
      </c>
      <c r="D22" s="88">
        <v>4</v>
      </c>
      <c r="E22" s="88"/>
      <c r="F22" s="88">
        <f>D22-E22</f>
        <v>4</v>
      </c>
      <c r="G22" s="88" t="s">
        <v>33</v>
      </c>
      <c r="H22" s="184">
        <v>2020</v>
      </c>
      <c r="I22" s="81" t="s">
        <v>546</v>
      </c>
    </row>
    <row r="23" spans="1:9" s="81" customFormat="1" ht="26.25" customHeight="1" x14ac:dyDescent="0.35">
      <c r="A23" s="88">
        <v>20</v>
      </c>
      <c r="B23" s="88" t="s">
        <v>83</v>
      </c>
      <c r="C23" s="153" t="s">
        <v>472</v>
      </c>
      <c r="D23" s="88">
        <v>4</v>
      </c>
      <c r="E23" s="88">
        <v>4</v>
      </c>
      <c r="F23" s="88">
        <f>D23-E23</f>
        <v>0</v>
      </c>
      <c r="G23" s="88" t="s">
        <v>33</v>
      </c>
    </row>
    <row r="24" spans="1:9" s="9" customFormat="1" ht="21.6" thickBot="1" x14ac:dyDescent="0.45">
      <c r="A24" s="92"/>
      <c r="B24" s="93" t="s">
        <v>44</v>
      </c>
      <c r="C24" s="94"/>
      <c r="D24" s="93"/>
      <c r="E24" s="93"/>
      <c r="F24" s="93"/>
      <c r="G24" s="95"/>
    </row>
    <row r="25" spans="1:9" s="9" customFormat="1" ht="25.5" customHeight="1" x14ac:dyDescent="0.4">
      <c r="A25" s="119">
        <v>20</v>
      </c>
      <c r="B25" s="119" t="s">
        <v>44</v>
      </c>
      <c r="C25" s="128" t="s">
        <v>473</v>
      </c>
      <c r="D25" s="119">
        <v>4</v>
      </c>
      <c r="E25" s="119">
        <v>4</v>
      </c>
      <c r="F25" s="119">
        <f t="shared" ref="F25:F50" si="1">D25-E25</f>
        <v>0</v>
      </c>
      <c r="G25" s="119" t="s">
        <v>33</v>
      </c>
    </row>
    <row r="26" spans="1:9" s="9" customFormat="1" ht="25.5" customHeight="1" x14ac:dyDescent="0.4">
      <c r="A26" s="120">
        <v>20</v>
      </c>
      <c r="B26" s="120" t="s">
        <v>44</v>
      </c>
      <c r="C26" s="155" t="s">
        <v>76</v>
      </c>
      <c r="D26" s="120">
        <v>16</v>
      </c>
      <c r="E26" s="120">
        <v>14</v>
      </c>
      <c r="F26" s="120">
        <f t="shared" si="1"/>
        <v>2</v>
      </c>
      <c r="G26" s="120" t="s">
        <v>32</v>
      </c>
      <c r="H26" s="9" t="s">
        <v>270</v>
      </c>
    </row>
    <row r="27" spans="1:9" s="9" customFormat="1" ht="25.5" customHeight="1" x14ac:dyDescent="0.4">
      <c r="A27" s="120">
        <v>20</v>
      </c>
      <c r="B27" s="120" t="s">
        <v>44</v>
      </c>
      <c r="C27" s="155" t="s">
        <v>530</v>
      </c>
      <c r="D27" s="120">
        <v>4</v>
      </c>
      <c r="E27" s="120">
        <v>4</v>
      </c>
      <c r="F27" s="120">
        <f t="shared" si="1"/>
        <v>0</v>
      </c>
      <c r="G27" s="120" t="s">
        <v>33</v>
      </c>
    </row>
    <row r="28" spans="1:9" s="9" customFormat="1" ht="25.5" customHeight="1" x14ac:dyDescent="0.4">
      <c r="A28" s="120">
        <v>20</v>
      </c>
      <c r="B28" s="120" t="s">
        <v>44</v>
      </c>
      <c r="C28" s="155" t="s">
        <v>524</v>
      </c>
      <c r="D28" s="120">
        <v>4</v>
      </c>
      <c r="E28" s="120">
        <v>4</v>
      </c>
      <c r="F28" s="120">
        <f t="shared" si="1"/>
        <v>0</v>
      </c>
      <c r="G28" s="120" t="s">
        <v>32</v>
      </c>
    </row>
    <row r="29" spans="1:9" s="9" customFormat="1" ht="25.5" customHeight="1" x14ac:dyDescent="0.4">
      <c r="A29" s="120">
        <v>20</v>
      </c>
      <c r="B29" s="120" t="s">
        <v>44</v>
      </c>
      <c r="C29" s="155" t="s">
        <v>437</v>
      </c>
      <c r="D29" s="120">
        <v>8</v>
      </c>
      <c r="E29" s="120">
        <v>8</v>
      </c>
      <c r="F29" s="120">
        <f t="shared" si="1"/>
        <v>0</v>
      </c>
      <c r="G29" s="120" t="s">
        <v>33</v>
      </c>
    </row>
    <row r="30" spans="1:9" s="9" customFormat="1" ht="25.5" customHeight="1" x14ac:dyDescent="0.4">
      <c r="A30" s="120">
        <v>20</v>
      </c>
      <c r="B30" s="120" t="s">
        <v>438</v>
      </c>
      <c r="C30" s="155" t="s">
        <v>530</v>
      </c>
      <c r="D30" s="120">
        <v>10</v>
      </c>
      <c r="E30" s="120">
        <v>10</v>
      </c>
      <c r="F30" s="120">
        <f t="shared" si="1"/>
        <v>0</v>
      </c>
      <c r="G30" s="120" t="s">
        <v>33</v>
      </c>
    </row>
    <row r="31" spans="1:9" s="9" customFormat="1" ht="25.5" customHeight="1" x14ac:dyDescent="0.4">
      <c r="A31" s="119">
        <v>20</v>
      </c>
      <c r="B31" s="119" t="s">
        <v>438</v>
      </c>
      <c r="C31" s="128" t="s">
        <v>437</v>
      </c>
      <c r="D31" s="119">
        <v>6</v>
      </c>
      <c r="E31" s="119">
        <v>6</v>
      </c>
      <c r="F31" s="119">
        <f t="shared" si="1"/>
        <v>0</v>
      </c>
      <c r="G31" s="119" t="s">
        <v>33</v>
      </c>
    </row>
    <row r="32" spans="1:9" s="9" customFormat="1" ht="25.5" customHeight="1" x14ac:dyDescent="0.4">
      <c r="A32" s="119">
        <v>20</v>
      </c>
      <c r="B32" s="119" t="s">
        <v>438</v>
      </c>
      <c r="C32" s="128" t="s">
        <v>523</v>
      </c>
      <c r="D32" s="119">
        <v>12</v>
      </c>
      <c r="E32" s="119">
        <v>12</v>
      </c>
      <c r="F32" s="119">
        <f t="shared" si="1"/>
        <v>0</v>
      </c>
      <c r="G32" s="119" t="s">
        <v>32</v>
      </c>
    </row>
    <row r="33" spans="1:8" s="9" customFormat="1" ht="21.6" thickBot="1" x14ac:dyDescent="0.45">
      <c r="A33" s="92"/>
      <c r="B33" s="93" t="s">
        <v>37</v>
      </c>
      <c r="C33" s="94"/>
      <c r="D33" s="93"/>
      <c r="E33" s="93"/>
      <c r="F33" s="93"/>
      <c r="G33" s="95"/>
      <c r="H33" s="96"/>
    </row>
    <row r="34" spans="1:8" s="9" customFormat="1" ht="26.25" customHeight="1" x14ac:dyDescent="0.4">
      <c r="A34" s="120">
        <v>20</v>
      </c>
      <c r="B34" s="120" t="s">
        <v>37</v>
      </c>
      <c r="C34" s="155" t="s">
        <v>523</v>
      </c>
      <c r="D34" s="120">
        <v>6</v>
      </c>
      <c r="E34" s="120">
        <v>6</v>
      </c>
      <c r="F34" s="120">
        <f t="shared" si="1"/>
        <v>0</v>
      </c>
      <c r="G34" s="120" t="s">
        <v>32</v>
      </c>
    </row>
    <row r="35" spans="1:8" s="9" customFormat="1" ht="26.25" customHeight="1" x14ac:dyDescent="0.4">
      <c r="A35" s="120">
        <v>20</v>
      </c>
      <c r="B35" s="120" t="s">
        <v>37</v>
      </c>
      <c r="C35" s="155" t="s">
        <v>532</v>
      </c>
      <c r="D35" s="120">
        <v>10</v>
      </c>
      <c r="E35" s="120">
        <v>10</v>
      </c>
      <c r="F35" s="120">
        <f t="shared" si="1"/>
        <v>0</v>
      </c>
      <c r="G35" s="120" t="s">
        <v>32</v>
      </c>
    </row>
    <row r="36" spans="1:8" s="9" customFormat="1" ht="26.25" customHeight="1" x14ac:dyDescent="0.4">
      <c r="A36" s="120">
        <v>20</v>
      </c>
      <c r="B36" s="120" t="s">
        <v>37</v>
      </c>
      <c r="C36" s="155" t="s">
        <v>530</v>
      </c>
      <c r="D36" s="120">
        <v>6</v>
      </c>
      <c r="E36" s="120">
        <v>6</v>
      </c>
      <c r="F36" s="120">
        <f t="shared" si="1"/>
        <v>0</v>
      </c>
      <c r="G36" s="120" t="s">
        <v>33</v>
      </c>
    </row>
    <row r="37" spans="1:8" s="9" customFormat="1" ht="26.25" customHeight="1" x14ac:dyDescent="0.4">
      <c r="A37" s="120">
        <v>20</v>
      </c>
      <c r="B37" s="120" t="s">
        <v>37</v>
      </c>
      <c r="C37" s="155" t="s">
        <v>437</v>
      </c>
      <c r="D37" s="120">
        <v>2</v>
      </c>
      <c r="E37" s="120"/>
      <c r="F37" s="120">
        <f t="shared" si="1"/>
        <v>2</v>
      </c>
      <c r="G37" s="120" t="s">
        <v>33</v>
      </c>
    </row>
    <row r="38" spans="1:8" s="9" customFormat="1" ht="26.25" customHeight="1" x14ac:dyDescent="0.4">
      <c r="A38" s="120">
        <v>20</v>
      </c>
      <c r="B38" s="120" t="s">
        <v>37</v>
      </c>
      <c r="C38" s="155" t="s">
        <v>266</v>
      </c>
      <c r="D38" s="120">
        <v>4</v>
      </c>
      <c r="E38" s="120"/>
      <c r="F38" s="120">
        <f t="shared" si="1"/>
        <v>4</v>
      </c>
      <c r="G38" s="120" t="s">
        <v>33</v>
      </c>
    </row>
    <row r="39" spans="1:8" s="9" customFormat="1" ht="26.25" customHeight="1" thickBot="1" x14ac:dyDescent="0.45">
      <c r="A39" s="120">
        <v>20</v>
      </c>
      <c r="B39" s="120" t="s">
        <v>37</v>
      </c>
      <c r="C39" s="155" t="s">
        <v>289</v>
      </c>
      <c r="D39" s="120">
        <v>4</v>
      </c>
      <c r="E39" s="120"/>
      <c r="F39" s="120">
        <f t="shared" si="1"/>
        <v>4</v>
      </c>
      <c r="G39" s="120" t="s">
        <v>32</v>
      </c>
    </row>
    <row r="40" spans="1:8" s="9" customFormat="1" ht="21.6" thickBot="1" x14ac:dyDescent="0.45">
      <c r="A40" s="97"/>
      <c r="B40" s="98" t="s">
        <v>38</v>
      </c>
      <c r="C40" s="99"/>
      <c r="D40" s="98"/>
      <c r="E40" s="98"/>
      <c r="F40" s="98"/>
      <c r="G40" s="100"/>
    </row>
    <row r="41" spans="1:8" s="9" customFormat="1" ht="24.75" customHeight="1" x14ac:dyDescent="0.4">
      <c r="A41" s="120">
        <v>20</v>
      </c>
      <c r="B41" s="120" t="s">
        <v>38</v>
      </c>
      <c r="C41" s="155" t="s">
        <v>467</v>
      </c>
      <c r="D41" s="120">
        <v>4</v>
      </c>
      <c r="E41" s="120"/>
      <c r="F41" s="119">
        <f t="shared" si="1"/>
        <v>4</v>
      </c>
      <c r="G41" s="120" t="s">
        <v>33</v>
      </c>
    </row>
    <row r="42" spans="1:8" s="9" customFormat="1" ht="21" x14ac:dyDescent="0.4">
      <c r="A42" s="120">
        <v>20</v>
      </c>
      <c r="B42" s="120" t="s">
        <v>38</v>
      </c>
      <c r="C42" s="155" t="s">
        <v>149</v>
      </c>
      <c r="D42" s="120">
        <v>12</v>
      </c>
      <c r="E42" s="120">
        <v>12</v>
      </c>
      <c r="F42" s="120">
        <f>D42-E42</f>
        <v>0</v>
      </c>
      <c r="G42" s="120" t="s">
        <v>32</v>
      </c>
    </row>
    <row r="43" spans="1:8" s="9" customFormat="1" ht="21" x14ac:dyDescent="0.4">
      <c r="A43" s="120">
        <v>20</v>
      </c>
      <c r="B43" s="120" t="s">
        <v>38</v>
      </c>
      <c r="C43" s="155" t="s">
        <v>524</v>
      </c>
      <c r="D43" s="120">
        <v>14</v>
      </c>
      <c r="E43" s="120">
        <v>6</v>
      </c>
      <c r="F43" s="120">
        <f>D43-E43</f>
        <v>8</v>
      </c>
      <c r="G43" s="120" t="s">
        <v>32</v>
      </c>
    </row>
    <row r="44" spans="1:8" s="9" customFormat="1" ht="21" x14ac:dyDescent="0.4">
      <c r="A44" s="120">
        <v>20</v>
      </c>
      <c r="B44" s="120" t="s">
        <v>38</v>
      </c>
      <c r="C44" s="155" t="s">
        <v>530</v>
      </c>
      <c r="D44" s="120">
        <v>8</v>
      </c>
      <c r="E44" s="120">
        <v>8</v>
      </c>
      <c r="F44" s="120">
        <f>D44-E44</f>
        <v>0</v>
      </c>
      <c r="G44" s="120" t="s">
        <v>33</v>
      </c>
    </row>
    <row r="45" spans="1:8" s="9" customFormat="1" ht="21" x14ac:dyDescent="0.4">
      <c r="A45" s="119">
        <v>20</v>
      </c>
      <c r="B45" s="119" t="s">
        <v>38</v>
      </c>
      <c r="C45" s="128" t="s">
        <v>437</v>
      </c>
      <c r="D45" s="119">
        <v>4</v>
      </c>
      <c r="E45" s="119">
        <v>4</v>
      </c>
      <c r="F45" s="119">
        <f>D45-E45</f>
        <v>0</v>
      </c>
      <c r="G45" s="119" t="s">
        <v>33</v>
      </c>
    </row>
    <row r="46" spans="1:8" s="9" customFormat="1" ht="21.6" thickBot="1" x14ac:dyDescent="0.45">
      <c r="A46" s="92"/>
      <c r="B46" s="93" t="s">
        <v>43</v>
      </c>
      <c r="C46" s="94"/>
      <c r="D46" s="93"/>
      <c r="E46" s="93"/>
      <c r="F46" s="93"/>
      <c r="G46" s="95"/>
    </row>
    <row r="47" spans="1:8" s="9" customFormat="1" ht="25.5" customHeight="1" x14ac:dyDescent="0.4">
      <c r="A47" s="118">
        <v>20</v>
      </c>
      <c r="B47" s="118" t="s">
        <v>43</v>
      </c>
      <c r="C47" s="154" t="s">
        <v>75</v>
      </c>
      <c r="D47" s="118">
        <v>4</v>
      </c>
      <c r="E47" s="118"/>
      <c r="F47" s="118">
        <f t="shared" si="1"/>
        <v>4</v>
      </c>
      <c r="G47" s="118" t="s">
        <v>32</v>
      </c>
      <c r="H47" s="9" t="s">
        <v>241</v>
      </c>
    </row>
    <row r="48" spans="1:8" s="9" customFormat="1" ht="25.5" customHeight="1" x14ac:dyDescent="0.4">
      <c r="A48" s="119">
        <v>20</v>
      </c>
      <c r="B48" s="119" t="s">
        <v>106</v>
      </c>
      <c r="C48" s="128" t="s">
        <v>484</v>
      </c>
      <c r="D48" s="119">
        <v>4</v>
      </c>
      <c r="E48" s="119"/>
      <c r="F48" s="119">
        <f t="shared" si="1"/>
        <v>4</v>
      </c>
      <c r="G48" s="119" t="s">
        <v>32</v>
      </c>
    </row>
    <row r="49" spans="1:7" s="9" customFormat="1" ht="25.5" customHeight="1" x14ac:dyDescent="0.4">
      <c r="A49" s="119">
        <v>20</v>
      </c>
      <c r="B49" s="119" t="s">
        <v>106</v>
      </c>
      <c r="C49" s="128" t="s">
        <v>122</v>
      </c>
      <c r="D49" s="119">
        <v>8</v>
      </c>
      <c r="E49" s="119">
        <v>8</v>
      </c>
      <c r="F49" s="119">
        <f t="shared" si="1"/>
        <v>0</v>
      </c>
      <c r="G49" s="119" t="s">
        <v>32</v>
      </c>
    </row>
    <row r="50" spans="1:7" s="9" customFormat="1" ht="25.5" customHeight="1" x14ac:dyDescent="0.4">
      <c r="A50" s="119">
        <v>20</v>
      </c>
      <c r="B50" s="119" t="s">
        <v>106</v>
      </c>
      <c r="C50" s="128" t="s">
        <v>524</v>
      </c>
      <c r="D50" s="119">
        <v>12</v>
      </c>
      <c r="E50" s="119">
        <v>8</v>
      </c>
      <c r="F50" s="119">
        <f t="shared" si="1"/>
        <v>4</v>
      </c>
      <c r="G50" s="119" t="s">
        <v>32</v>
      </c>
    </row>
    <row r="51" spans="1:7" s="9" customFormat="1" ht="21.6" thickBot="1" x14ac:dyDescent="0.45">
      <c r="A51" s="92"/>
      <c r="B51" s="93" t="s">
        <v>49</v>
      </c>
      <c r="C51" s="94"/>
      <c r="D51" s="93"/>
      <c r="E51" s="93"/>
      <c r="F51" s="93"/>
      <c r="G51" s="95"/>
    </row>
    <row r="52" spans="1:7" s="9" customFormat="1" ht="26.25" customHeight="1" x14ac:dyDescent="0.4">
      <c r="A52" s="119">
        <v>20</v>
      </c>
      <c r="B52" s="119" t="s">
        <v>49</v>
      </c>
      <c r="C52" s="128" t="s">
        <v>76</v>
      </c>
      <c r="D52" s="119">
        <v>2</v>
      </c>
      <c r="E52" s="119"/>
      <c r="F52" s="119">
        <f t="shared" ref="F52:F65" si="2">D52-E52</f>
        <v>2</v>
      </c>
      <c r="G52" s="119" t="s">
        <v>32</v>
      </c>
    </row>
    <row r="53" spans="1:7" s="9" customFormat="1" ht="26.25" customHeight="1" x14ac:dyDescent="0.4">
      <c r="A53" s="119">
        <v>20</v>
      </c>
      <c r="B53" s="119" t="s">
        <v>535</v>
      </c>
      <c r="C53" s="128" t="s">
        <v>435</v>
      </c>
      <c r="D53" s="119">
        <v>4</v>
      </c>
      <c r="E53" s="119">
        <v>4</v>
      </c>
      <c r="F53" s="119">
        <f t="shared" si="2"/>
        <v>0</v>
      </c>
      <c r="G53" s="119" t="s">
        <v>33</v>
      </c>
    </row>
    <row r="54" spans="1:7" s="9" customFormat="1" ht="26.25" customHeight="1" x14ac:dyDescent="0.4">
      <c r="A54" s="119">
        <v>20</v>
      </c>
      <c r="B54" s="119" t="s">
        <v>384</v>
      </c>
      <c r="C54" s="128" t="s">
        <v>523</v>
      </c>
      <c r="D54" s="119">
        <v>8</v>
      </c>
      <c r="E54" s="119">
        <v>4</v>
      </c>
      <c r="F54" s="119">
        <f t="shared" si="2"/>
        <v>4</v>
      </c>
      <c r="G54" s="119" t="s">
        <v>32</v>
      </c>
    </row>
    <row r="55" spans="1:7" s="9" customFormat="1" ht="26.25" customHeight="1" x14ac:dyDescent="0.4">
      <c r="A55" s="119">
        <v>20</v>
      </c>
      <c r="B55" s="119" t="s">
        <v>384</v>
      </c>
      <c r="C55" s="128" t="s">
        <v>76</v>
      </c>
      <c r="D55" s="119">
        <v>6</v>
      </c>
      <c r="E55" s="119">
        <v>6</v>
      </c>
      <c r="F55" s="119">
        <f t="shared" si="2"/>
        <v>0</v>
      </c>
      <c r="G55" s="119" t="s">
        <v>32</v>
      </c>
    </row>
    <row r="56" spans="1:7" s="9" customFormat="1" ht="26.25" customHeight="1" x14ac:dyDescent="0.4">
      <c r="A56" s="119">
        <v>20</v>
      </c>
      <c r="B56" s="119" t="s">
        <v>384</v>
      </c>
      <c r="C56" s="128" t="s">
        <v>385</v>
      </c>
      <c r="D56" s="119">
        <v>2</v>
      </c>
      <c r="E56" s="119"/>
      <c r="F56" s="119">
        <f t="shared" si="2"/>
        <v>2</v>
      </c>
      <c r="G56" s="119" t="s">
        <v>32</v>
      </c>
    </row>
    <row r="57" spans="1:7" s="9" customFormat="1" ht="26.25" customHeight="1" x14ac:dyDescent="0.4">
      <c r="A57" s="119">
        <v>20</v>
      </c>
      <c r="B57" s="119" t="s">
        <v>136</v>
      </c>
      <c r="C57" s="128" t="s">
        <v>264</v>
      </c>
      <c r="D57" s="119">
        <v>2</v>
      </c>
      <c r="E57" s="119"/>
      <c r="F57" s="119">
        <f t="shared" si="2"/>
        <v>2</v>
      </c>
      <c r="G57" s="119" t="s">
        <v>33</v>
      </c>
    </row>
    <row r="58" spans="1:7" s="9" customFormat="1" ht="26.25" customHeight="1" x14ac:dyDescent="0.4">
      <c r="A58" s="119">
        <v>20</v>
      </c>
      <c r="B58" s="119" t="s">
        <v>439</v>
      </c>
      <c r="C58" s="128" t="s">
        <v>467</v>
      </c>
      <c r="D58" s="119">
        <v>4</v>
      </c>
      <c r="E58" s="119"/>
      <c r="F58" s="119">
        <f t="shared" si="2"/>
        <v>4</v>
      </c>
      <c r="G58" s="119" t="s">
        <v>33</v>
      </c>
    </row>
    <row r="59" spans="1:7" s="9" customFormat="1" ht="26.25" customHeight="1" x14ac:dyDescent="0.4">
      <c r="A59" s="119">
        <v>20</v>
      </c>
      <c r="B59" s="119" t="s">
        <v>439</v>
      </c>
      <c r="C59" s="128" t="s">
        <v>263</v>
      </c>
      <c r="D59" s="119">
        <v>2</v>
      </c>
      <c r="E59" s="119"/>
      <c r="F59" s="119">
        <f t="shared" si="2"/>
        <v>2</v>
      </c>
      <c r="G59" s="119" t="s">
        <v>33</v>
      </c>
    </row>
    <row r="60" spans="1:7" s="9" customFormat="1" ht="26.25" customHeight="1" x14ac:dyDescent="0.4">
      <c r="A60" s="119">
        <v>20</v>
      </c>
      <c r="B60" s="119" t="s">
        <v>439</v>
      </c>
      <c r="C60" s="128" t="s">
        <v>437</v>
      </c>
      <c r="D60" s="119">
        <v>4</v>
      </c>
      <c r="E60" s="119">
        <v>4</v>
      </c>
      <c r="F60" s="119">
        <f t="shared" si="2"/>
        <v>0</v>
      </c>
      <c r="G60" s="119" t="s">
        <v>33</v>
      </c>
    </row>
    <row r="61" spans="1:7" s="9" customFormat="1" ht="26.25" customHeight="1" x14ac:dyDescent="0.4">
      <c r="A61" s="119">
        <v>20</v>
      </c>
      <c r="B61" s="119" t="s">
        <v>439</v>
      </c>
      <c r="C61" s="128" t="s">
        <v>547</v>
      </c>
      <c r="D61" s="119">
        <v>6</v>
      </c>
      <c r="E61" s="119">
        <v>2</v>
      </c>
      <c r="F61" s="119">
        <f t="shared" si="2"/>
        <v>4</v>
      </c>
      <c r="G61" s="119" t="s">
        <v>32</v>
      </c>
    </row>
    <row r="62" spans="1:7" s="9" customFormat="1" ht="26.25" customHeight="1" x14ac:dyDescent="0.4">
      <c r="A62" s="119">
        <v>20</v>
      </c>
      <c r="B62" s="119" t="s">
        <v>442</v>
      </c>
      <c r="C62" s="128" t="s">
        <v>530</v>
      </c>
      <c r="D62" s="119">
        <v>6</v>
      </c>
      <c r="E62" s="119">
        <v>4</v>
      </c>
      <c r="F62" s="119">
        <f t="shared" si="2"/>
        <v>2</v>
      </c>
      <c r="G62" s="119" t="s">
        <v>33</v>
      </c>
    </row>
    <row r="63" spans="1:7" s="9" customFormat="1" ht="26.25" customHeight="1" x14ac:dyDescent="0.4">
      <c r="A63" s="119">
        <v>20</v>
      </c>
      <c r="B63" s="119" t="s">
        <v>442</v>
      </c>
      <c r="C63" s="128" t="s">
        <v>437</v>
      </c>
      <c r="D63" s="119">
        <v>2</v>
      </c>
      <c r="E63" s="119"/>
      <c r="F63" s="119">
        <f t="shared" si="2"/>
        <v>2</v>
      </c>
      <c r="G63" s="119" t="s">
        <v>33</v>
      </c>
    </row>
    <row r="64" spans="1:7" s="9" customFormat="1" ht="26.25" customHeight="1" x14ac:dyDescent="0.4">
      <c r="A64" s="119">
        <v>20</v>
      </c>
      <c r="B64" s="119" t="s">
        <v>442</v>
      </c>
      <c r="C64" s="128" t="s">
        <v>523</v>
      </c>
      <c r="D64" s="119">
        <v>6</v>
      </c>
      <c r="E64" s="119">
        <v>6</v>
      </c>
      <c r="F64" s="119">
        <f t="shared" si="2"/>
        <v>0</v>
      </c>
      <c r="G64" s="119" t="s">
        <v>32</v>
      </c>
    </row>
    <row r="65" spans="1:8" s="9" customFormat="1" ht="26.25" customHeight="1" x14ac:dyDescent="0.4">
      <c r="A65" s="119">
        <v>20</v>
      </c>
      <c r="B65" s="119" t="s">
        <v>442</v>
      </c>
      <c r="C65" s="128" t="s">
        <v>532</v>
      </c>
      <c r="D65" s="119">
        <v>8</v>
      </c>
      <c r="E65" s="119">
        <v>4</v>
      </c>
      <c r="F65" s="119">
        <f t="shared" si="2"/>
        <v>4</v>
      </c>
      <c r="G65" s="119" t="s">
        <v>32</v>
      </c>
    </row>
    <row r="66" spans="1:8" s="9" customFormat="1" ht="21.6" thickBot="1" x14ac:dyDescent="0.45">
      <c r="C66" s="10" t="s">
        <v>42</v>
      </c>
      <c r="D66" s="11">
        <f>SUM(D2:D65)</f>
        <v>372</v>
      </c>
      <c r="E66" s="12">
        <f>SUM(E2:E57)</f>
        <v>230</v>
      </c>
      <c r="F66" s="11">
        <f>SUM(F2:F65)</f>
        <v>122</v>
      </c>
    </row>
    <row r="67" spans="1:8" x14ac:dyDescent="0.3">
      <c r="H67" s="3"/>
    </row>
  </sheetData>
  <sortState xmlns:xlrd2="http://schemas.microsoft.com/office/spreadsheetml/2017/richdata2" ref="A2:G20">
    <sortCondition ref="B2"/>
  </sortState>
  <pageMargins left="0.7" right="0.7" top="0.75" bottom="0.75" header="0.3" footer="0.3"/>
  <pageSetup paperSize="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topLeftCell="A10" zoomScale="115" zoomScaleNormal="115" workbookViewId="0">
      <selection activeCell="G27" sqref="G27"/>
    </sheetView>
  </sheetViews>
  <sheetFormatPr defaultColWidth="9.109375" defaultRowHeight="14.4" x14ac:dyDescent="0.3"/>
  <cols>
    <col min="1" max="1" width="4.88671875" style="2" customWidth="1"/>
    <col min="2" max="2" width="12.6640625" style="2" customWidth="1"/>
    <col min="3" max="3" width="25.88671875" style="2" customWidth="1"/>
    <col min="4" max="5" width="8" style="2" customWidth="1"/>
    <col min="6" max="6" width="8.109375" style="2" customWidth="1"/>
    <col min="7" max="7" width="12.6640625" style="2" customWidth="1"/>
    <col min="8" max="16384" width="9.109375" style="2"/>
  </cols>
  <sheetData>
    <row r="1" spans="1:8" ht="15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8" ht="18.600000000000001" thickBot="1" x14ac:dyDescent="0.35">
      <c r="A2" s="106"/>
      <c r="B2" s="107" t="s">
        <v>83</v>
      </c>
      <c r="C2" s="107"/>
      <c r="D2" s="107"/>
      <c r="E2" s="107"/>
      <c r="F2" s="107"/>
      <c r="G2" s="108"/>
    </row>
    <row r="3" spans="1:8" ht="18" x14ac:dyDescent="0.35">
      <c r="A3" s="83">
        <v>21</v>
      </c>
      <c r="B3" s="83" t="s">
        <v>83</v>
      </c>
      <c r="C3" s="150" t="s">
        <v>82</v>
      </c>
      <c r="D3" s="83">
        <v>12</v>
      </c>
      <c r="E3" s="83">
        <v>12</v>
      </c>
      <c r="F3" s="83">
        <f t="shared" ref="F3:F26" si="0">D3-E3</f>
        <v>0</v>
      </c>
      <c r="G3" s="83" t="s">
        <v>84</v>
      </c>
    </row>
    <row r="4" spans="1:8" ht="18" x14ac:dyDescent="0.35">
      <c r="A4" s="82">
        <v>21</v>
      </c>
      <c r="B4" s="82" t="s">
        <v>83</v>
      </c>
      <c r="C4" s="130" t="s">
        <v>137</v>
      </c>
      <c r="D4" s="82">
        <v>10</v>
      </c>
      <c r="E4" s="82">
        <v>8</v>
      </c>
      <c r="F4" s="82">
        <f t="shared" si="0"/>
        <v>2</v>
      </c>
      <c r="G4" s="82" t="s">
        <v>84</v>
      </c>
    </row>
    <row r="5" spans="1:8" ht="18" x14ac:dyDescent="0.35">
      <c r="A5" s="82">
        <v>21</v>
      </c>
      <c r="B5" s="82" t="s">
        <v>83</v>
      </c>
      <c r="C5" s="130" t="s">
        <v>481</v>
      </c>
      <c r="D5" s="82">
        <v>4</v>
      </c>
      <c r="E5" s="82">
        <v>4</v>
      </c>
      <c r="F5" s="82">
        <f t="shared" si="0"/>
        <v>0</v>
      </c>
      <c r="G5" s="82" t="s">
        <v>103</v>
      </c>
      <c r="H5" s="176">
        <v>2023</v>
      </c>
    </row>
    <row r="6" spans="1:8" ht="18" x14ac:dyDescent="0.35">
      <c r="A6" s="82">
        <v>21</v>
      </c>
      <c r="B6" s="82" t="s">
        <v>37</v>
      </c>
      <c r="C6" s="130" t="s">
        <v>523</v>
      </c>
      <c r="D6" s="82">
        <v>6</v>
      </c>
      <c r="E6" s="82">
        <v>6</v>
      </c>
      <c r="F6" s="82">
        <f t="shared" si="0"/>
        <v>0</v>
      </c>
      <c r="G6" s="82" t="s">
        <v>84</v>
      </c>
      <c r="H6" s="176"/>
    </row>
    <row r="7" spans="1:8" ht="18" x14ac:dyDescent="0.35">
      <c r="A7" s="82">
        <v>21</v>
      </c>
      <c r="B7" s="82" t="s">
        <v>442</v>
      </c>
      <c r="C7" s="130" t="s">
        <v>523</v>
      </c>
      <c r="D7" s="82">
        <v>6</v>
      </c>
      <c r="E7" s="82">
        <v>6</v>
      </c>
      <c r="F7" s="82">
        <f t="shared" si="0"/>
        <v>0</v>
      </c>
      <c r="G7" s="82" t="s">
        <v>84</v>
      </c>
      <c r="H7" s="176"/>
    </row>
    <row r="8" spans="1:8" ht="18" x14ac:dyDescent="0.35">
      <c r="A8" s="82">
        <v>21</v>
      </c>
      <c r="B8" s="82" t="s">
        <v>38</v>
      </c>
      <c r="C8" s="130" t="s">
        <v>263</v>
      </c>
      <c r="D8" s="82">
        <v>4</v>
      </c>
      <c r="E8" s="82">
        <v>4</v>
      </c>
      <c r="F8" s="82">
        <f t="shared" si="0"/>
        <v>0</v>
      </c>
      <c r="G8" s="82" t="s">
        <v>272</v>
      </c>
    </row>
    <row r="9" spans="1:8" ht="18" x14ac:dyDescent="0.35">
      <c r="A9" s="84">
        <v>21</v>
      </c>
      <c r="B9" s="84" t="s">
        <v>38</v>
      </c>
      <c r="C9" s="151" t="s">
        <v>197</v>
      </c>
      <c r="D9" s="84">
        <v>6</v>
      </c>
      <c r="E9" s="84">
        <v>4</v>
      </c>
      <c r="F9" s="82">
        <f t="shared" si="0"/>
        <v>2</v>
      </c>
      <c r="G9" s="84" t="s">
        <v>84</v>
      </c>
    </row>
    <row r="10" spans="1:8" ht="18" x14ac:dyDescent="0.35">
      <c r="A10" s="84">
        <v>21</v>
      </c>
      <c r="B10" s="84" t="s">
        <v>38</v>
      </c>
      <c r="C10" s="151" t="s">
        <v>523</v>
      </c>
      <c r="D10" s="84">
        <v>14</v>
      </c>
      <c r="E10" s="84">
        <v>6</v>
      </c>
      <c r="F10" s="82">
        <f t="shared" si="0"/>
        <v>8</v>
      </c>
      <c r="G10" s="84" t="s">
        <v>84</v>
      </c>
    </row>
    <row r="11" spans="1:8" ht="18" x14ac:dyDescent="0.35">
      <c r="A11" s="84">
        <v>21</v>
      </c>
      <c r="B11" s="84" t="s">
        <v>38</v>
      </c>
      <c r="C11" s="151" t="s">
        <v>538</v>
      </c>
      <c r="D11" s="84">
        <v>8</v>
      </c>
      <c r="E11" s="84">
        <v>8</v>
      </c>
      <c r="F11" s="82">
        <f t="shared" si="0"/>
        <v>0</v>
      </c>
      <c r="G11" s="174" t="s">
        <v>103</v>
      </c>
    </row>
    <row r="12" spans="1:8" ht="18" x14ac:dyDescent="0.35">
      <c r="A12" s="84">
        <v>21</v>
      </c>
      <c r="B12" s="84" t="s">
        <v>106</v>
      </c>
      <c r="C12" s="151" t="s">
        <v>179</v>
      </c>
      <c r="D12" s="84">
        <v>12</v>
      </c>
      <c r="E12" s="84">
        <v>12</v>
      </c>
      <c r="F12" s="82">
        <f t="shared" si="0"/>
        <v>0</v>
      </c>
      <c r="G12" s="84" t="s">
        <v>84</v>
      </c>
    </row>
    <row r="13" spans="1:8" ht="18" x14ac:dyDescent="0.35">
      <c r="A13" s="84">
        <v>21</v>
      </c>
      <c r="B13" s="84" t="s">
        <v>102</v>
      </c>
      <c r="C13" s="151" t="s">
        <v>441</v>
      </c>
      <c r="D13" s="84">
        <v>4</v>
      </c>
      <c r="E13" s="84">
        <v>4</v>
      </c>
      <c r="F13" s="82">
        <f t="shared" si="0"/>
        <v>0</v>
      </c>
      <c r="G13" s="84" t="s">
        <v>103</v>
      </c>
    </row>
    <row r="14" spans="1:8" ht="18" x14ac:dyDescent="0.35">
      <c r="A14" s="84">
        <v>21</v>
      </c>
      <c r="B14" s="84" t="s">
        <v>102</v>
      </c>
      <c r="C14" s="151" t="s">
        <v>316</v>
      </c>
      <c r="D14" s="84">
        <v>8</v>
      </c>
      <c r="E14" s="84">
        <v>8</v>
      </c>
      <c r="F14" s="82">
        <f t="shared" si="0"/>
        <v>0</v>
      </c>
      <c r="G14" s="84" t="s">
        <v>84</v>
      </c>
    </row>
    <row r="15" spans="1:8" ht="18" x14ac:dyDescent="0.35">
      <c r="A15" s="84">
        <v>21</v>
      </c>
      <c r="B15" s="84" t="s">
        <v>136</v>
      </c>
      <c r="C15" s="151" t="s">
        <v>441</v>
      </c>
      <c r="D15" s="84">
        <v>8</v>
      </c>
      <c r="E15" s="84"/>
      <c r="F15" s="82">
        <f t="shared" si="0"/>
        <v>8</v>
      </c>
      <c r="G15" s="84" t="s">
        <v>103</v>
      </c>
    </row>
    <row r="16" spans="1:8" ht="18" x14ac:dyDescent="0.35">
      <c r="A16" s="84">
        <v>21</v>
      </c>
      <c r="B16" s="84" t="s">
        <v>136</v>
      </c>
      <c r="C16" s="151" t="s">
        <v>523</v>
      </c>
      <c r="D16" s="84">
        <v>20</v>
      </c>
      <c r="E16" s="84">
        <v>12</v>
      </c>
      <c r="F16" s="82">
        <f>D16-E16</f>
        <v>8</v>
      </c>
      <c r="G16" s="84" t="s">
        <v>84</v>
      </c>
    </row>
    <row r="17" spans="1:7" ht="18" x14ac:dyDescent="0.35">
      <c r="A17" s="84">
        <v>21</v>
      </c>
      <c r="B17" s="84" t="s">
        <v>540</v>
      </c>
      <c r="C17" s="151" t="s">
        <v>523</v>
      </c>
      <c r="D17" s="84">
        <v>2</v>
      </c>
      <c r="E17" s="84">
        <v>2</v>
      </c>
      <c r="F17" s="82">
        <f>D17-E17</f>
        <v>0</v>
      </c>
      <c r="G17" s="84" t="s">
        <v>84</v>
      </c>
    </row>
    <row r="18" spans="1:7" ht="18" x14ac:dyDescent="0.35">
      <c r="A18" s="84">
        <v>22</v>
      </c>
      <c r="B18" s="84" t="s">
        <v>106</v>
      </c>
      <c r="C18" s="151" t="s">
        <v>523</v>
      </c>
      <c r="D18" s="84">
        <v>16</v>
      </c>
      <c r="E18" s="84">
        <v>8</v>
      </c>
      <c r="F18" s="82">
        <f t="shared" si="0"/>
        <v>8</v>
      </c>
      <c r="G18" s="84" t="s">
        <v>84</v>
      </c>
    </row>
    <row r="19" spans="1:7" ht="18" x14ac:dyDescent="0.35">
      <c r="A19" s="84">
        <v>22</v>
      </c>
      <c r="B19" s="84" t="s">
        <v>541</v>
      </c>
      <c r="C19" s="151" t="s">
        <v>523</v>
      </c>
      <c r="D19" s="84">
        <v>4</v>
      </c>
      <c r="E19" s="84"/>
      <c r="F19" s="82">
        <f t="shared" si="0"/>
        <v>4</v>
      </c>
      <c r="G19" s="84" t="s">
        <v>84</v>
      </c>
    </row>
    <row r="20" spans="1:7" ht="18" x14ac:dyDescent="0.35">
      <c r="A20" s="84">
        <v>22</v>
      </c>
      <c r="B20" s="84" t="s">
        <v>440</v>
      </c>
      <c r="C20" s="151" t="s">
        <v>537</v>
      </c>
      <c r="D20" s="84">
        <v>4</v>
      </c>
      <c r="E20" s="84"/>
      <c r="F20" s="82">
        <f t="shared" si="0"/>
        <v>4</v>
      </c>
      <c r="G20" s="84" t="s">
        <v>84</v>
      </c>
    </row>
    <row r="21" spans="1:7" ht="18" x14ac:dyDescent="0.35">
      <c r="A21" s="84">
        <v>22</v>
      </c>
      <c r="B21" s="84" t="s">
        <v>37</v>
      </c>
      <c r="C21" s="151" t="s">
        <v>441</v>
      </c>
      <c r="D21" s="84">
        <v>4</v>
      </c>
      <c r="E21" s="84"/>
      <c r="F21" s="82">
        <f t="shared" si="0"/>
        <v>4</v>
      </c>
      <c r="G21" s="84" t="s">
        <v>103</v>
      </c>
    </row>
    <row r="22" spans="1:7" ht="18" x14ac:dyDescent="0.35">
      <c r="A22" s="84">
        <v>22</v>
      </c>
      <c r="B22" s="84" t="s">
        <v>442</v>
      </c>
      <c r="C22" s="151" t="s">
        <v>441</v>
      </c>
      <c r="D22" s="84">
        <v>4</v>
      </c>
      <c r="E22" s="84"/>
      <c r="F22" s="82">
        <f t="shared" si="0"/>
        <v>4</v>
      </c>
      <c r="G22" s="84" t="s">
        <v>103</v>
      </c>
    </row>
    <row r="23" spans="1:7" ht="18" x14ac:dyDescent="0.35">
      <c r="A23" s="84">
        <v>22</v>
      </c>
      <c r="B23" s="84" t="s">
        <v>37</v>
      </c>
      <c r="C23" s="151" t="s">
        <v>527</v>
      </c>
      <c r="D23" s="84">
        <v>8</v>
      </c>
      <c r="E23" s="84">
        <v>2</v>
      </c>
      <c r="F23" s="82">
        <f t="shared" si="0"/>
        <v>6</v>
      </c>
      <c r="G23" s="84" t="s">
        <v>84</v>
      </c>
    </row>
    <row r="24" spans="1:7" ht="18" x14ac:dyDescent="0.35">
      <c r="A24" s="84">
        <v>22</v>
      </c>
      <c r="B24" s="84" t="s">
        <v>542</v>
      </c>
      <c r="C24" s="151" t="s">
        <v>523</v>
      </c>
      <c r="D24" s="84">
        <v>4</v>
      </c>
      <c r="E24" s="84"/>
      <c r="F24" s="82">
        <f t="shared" si="0"/>
        <v>4</v>
      </c>
      <c r="G24" s="84" t="s">
        <v>84</v>
      </c>
    </row>
    <row r="25" spans="1:7" ht="18" x14ac:dyDescent="0.35">
      <c r="A25" s="84">
        <v>22</v>
      </c>
      <c r="B25" s="84" t="s">
        <v>442</v>
      </c>
      <c r="C25" s="151" t="s">
        <v>523</v>
      </c>
      <c r="D25" s="84">
        <v>4</v>
      </c>
      <c r="E25" s="84">
        <v>2</v>
      </c>
      <c r="F25" s="82">
        <f t="shared" si="0"/>
        <v>2</v>
      </c>
      <c r="G25" s="84" t="s">
        <v>84</v>
      </c>
    </row>
    <row r="26" spans="1:7" ht="18" x14ac:dyDescent="0.35">
      <c r="A26" s="109"/>
      <c r="B26" s="109"/>
      <c r="C26" s="110" t="s">
        <v>42</v>
      </c>
      <c r="D26" s="67">
        <f>SUM(D3:D25)</f>
        <v>172</v>
      </c>
      <c r="E26" s="111">
        <f>SUM(E3:E23)</f>
        <v>106</v>
      </c>
      <c r="F26" s="82">
        <f t="shared" si="0"/>
        <v>66</v>
      </c>
      <c r="G26" s="11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6"/>
  <sheetViews>
    <sheetView tabSelected="1" topLeftCell="A28" zoomScaleNormal="100" workbookViewId="0">
      <selection activeCell="E47" sqref="E47"/>
    </sheetView>
  </sheetViews>
  <sheetFormatPr defaultRowHeight="14.4" x14ac:dyDescent="0.3"/>
  <cols>
    <col min="1" max="1" width="7.5546875" customWidth="1"/>
    <col min="2" max="2" width="12.109375" customWidth="1"/>
    <col min="3" max="3" width="31.44140625" customWidth="1"/>
    <col min="4" max="4" width="10.88671875" customWidth="1"/>
    <col min="5" max="5" width="10.5546875" customWidth="1"/>
    <col min="6" max="6" width="10.44140625" customWidth="1"/>
    <col min="7" max="7" width="13.44140625" customWidth="1"/>
  </cols>
  <sheetData>
    <row r="1" spans="1:8" ht="15.6" x14ac:dyDescent="0.3">
      <c r="A1" s="121" t="s">
        <v>0</v>
      </c>
      <c r="B1" s="122" t="s">
        <v>1</v>
      </c>
      <c r="C1" s="122" t="s">
        <v>2</v>
      </c>
      <c r="D1" s="122" t="s">
        <v>3</v>
      </c>
      <c r="E1" s="122" t="s">
        <v>4</v>
      </c>
      <c r="F1" s="122" t="s">
        <v>5</v>
      </c>
      <c r="G1" s="122" t="s">
        <v>154</v>
      </c>
    </row>
    <row r="2" spans="1:8" x14ac:dyDescent="0.3">
      <c r="A2" s="123"/>
      <c r="B2" s="123"/>
      <c r="C2" s="123"/>
      <c r="D2" s="123"/>
      <c r="E2" s="123"/>
      <c r="F2" s="123"/>
      <c r="G2" s="123"/>
    </row>
    <row r="3" spans="1:8" ht="20.100000000000001" customHeight="1" x14ac:dyDescent="0.35">
      <c r="A3" s="124">
        <v>14</v>
      </c>
      <c r="B3" s="124" t="s">
        <v>36</v>
      </c>
      <c r="C3" s="148" t="s">
        <v>315</v>
      </c>
      <c r="D3" s="125">
        <v>1</v>
      </c>
      <c r="E3" s="125">
        <v>1</v>
      </c>
      <c r="F3" s="125">
        <f t="shared" ref="F3:F55" si="0">D3-E3</f>
        <v>0</v>
      </c>
      <c r="G3" s="124" t="s">
        <v>103</v>
      </c>
    </row>
    <row r="4" spans="1:8" ht="20.100000000000001" customHeight="1" x14ac:dyDescent="0.35">
      <c r="A4" s="124">
        <v>15</v>
      </c>
      <c r="B4" s="124" t="s">
        <v>36</v>
      </c>
      <c r="C4" s="148" t="s">
        <v>159</v>
      </c>
      <c r="D4" s="125">
        <v>1</v>
      </c>
      <c r="E4" s="125"/>
      <c r="F4" s="131">
        <f t="shared" si="0"/>
        <v>1</v>
      </c>
      <c r="G4" s="124" t="s">
        <v>32</v>
      </c>
      <c r="H4" t="s">
        <v>358</v>
      </c>
    </row>
    <row r="5" spans="1:8" ht="20.100000000000001" customHeight="1" x14ac:dyDescent="0.35">
      <c r="A5" s="124">
        <v>15</v>
      </c>
      <c r="B5" s="124" t="s">
        <v>36</v>
      </c>
      <c r="C5" s="148" t="s">
        <v>260</v>
      </c>
      <c r="D5" s="125">
        <v>1</v>
      </c>
      <c r="E5" s="125"/>
      <c r="F5" s="131">
        <f t="shared" si="0"/>
        <v>1</v>
      </c>
      <c r="G5" s="124" t="s">
        <v>103</v>
      </c>
    </row>
    <row r="6" spans="1:8" ht="20.100000000000001" customHeight="1" x14ac:dyDescent="0.35">
      <c r="A6" s="134"/>
      <c r="B6" s="70">
        <v>15</v>
      </c>
      <c r="C6" s="134"/>
      <c r="D6" s="135"/>
      <c r="E6" s="135"/>
      <c r="F6" s="135"/>
      <c r="G6" s="136"/>
    </row>
    <row r="7" spans="1:8" ht="20.100000000000001" customHeight="1" x14ac:dyDescent="0.35">
      <c r="A7" s="132">
        <v>15</v>
      </c>
      <c r="B7" s="132" t="s">
        <v>7</v>
      </c>
      <c r="C7" s="149" t="s">
        <v>148</v>
      </c>
      <c r="D7" s="133">
        <v>1</v>
      </c>
      <c r="E7" s="133">
        <v>1</v>
      </c>
      <c r="F7" s="133">
        <f t="shared" si="0"/>
        <v>0</v>
      </c>
      <c r="G7" s="132" t="s">
        <v>32</v>
      </c>
    </row>
    <row r="8" spans="1:8" ht="20.100000000000001" customHeight="1" x14ac:dyDescent="0.35">
      <c r="A8" s="132">
        <v>15</v>
      </c>
      <c r="B8" s="132" t="s">
        <v>10</v>
      </c>
      <c r="C8" s="149" t="s">
        <v>156</v>
      </c>
      <c r="D8" s="133">
        <v>1</v>
      </c>
      <c r="E8" s="133">
        <v>1</v>
      </c>
      <c r="F8" s="133">
        <f t="shared" si="0"/>
        <v>0</v>
      </c>
      <c r="G8" s="132" t="s">
        <v>32</v>
      </c>
    </row>
    <row r="9" spans="1:8" ht="20.100000000000001" customHeight="1" x14ac:dyDescent="0.35">
      <c r="A9" s="124">
        <v>15</v>
      </c>
      <c r="B9" s="124" t="s">
        <v>10</v>
      </c>
      <c r="C9" s="148" t="s">
        <v>357</v>
      </c>
      <c r="D9" s="125">
        <v>1</v>
      </c>
      <c r="E9" s="125"/>
      <c r="F9" s="125">
        <f t="shared" si="0"/>
        <v>1</v>
      </c>
      <c r="G9" s="124" t="s">
        <v>103</v>
      </c>
    </row>
    <row r="10" spans="1:8" ht="20.100000000000001" customHeight="1" x14ac:dyDescent="0.35">
      <c r="A10" s="124">
        <v>15</v>
      </c>
      <c r="B10" s="124" t="s">
        <v>10</v>
      </c>
      <c r="C10" s="148" t="s">
        <v>366</v>
      </c>
      <c r="D10" s="125">
        <v>1</v>
      </c>
      <c r="E10" s="125">
        <v>1</v>
      </c>
      <c r="F10" s="125">
        <f t="shared" si="0"/>
        <v>0</v>
      </c>
      <c r="G10" s="124" t="s">
        <v>103</v>
      </c>
    </row>
    <row r="11" spans="1:8" ht="20.100000000000001" customHeight="1" x14ac:dyDescent="0.35">
      <c r="A11" s="124">
        <v>15</v>
      </c>
      <c r="B11" s="124" t="s">
        <v>10</v>
      </c>
      <c r="C11" s="148" t="s">
        <v>231</v>
      </c>
      <c r="D11" s="125">
        <v>1</v>
      </c>
      <c r="E11" s="125">
        <v>1</v>
      </c>
      <c r="F11" s="125">
        <f t="shared" si="0"/>
        <v>0</v>
      </c>
      <c r="G11" s="124" t="s">
        <v>103</v>
      </c>
    </row>
    <row r="12" spans="1:8" ht="20.100000000000001" customHeight="1" x14ac:dyDescent="0.35">
      <c r="A12" s="124">
        <v>15</v>
      </c>
      <c r="B12" s="124" t="s">
        <v>10</v>
      </c>
      <c r="C12" s="148" t="s">
        <v>483</v>
      </c>
      <c r="D12" s="125">
        <v>1</v>
      </c>
      <c r="E12" s="125">
        <v>1</v>
      </c>
      <c r="F12" s="125">
        <f t="shared" si="0"/>
        <v>0</v>
      </c>
      <c r="G12" s="124" t="s">
        <v>103</v>
      </c>
      <c r="H12" s="177">
        <v>2019</v>
      </c>
    </row>
    <row r="13" spans="1:8" ht="20.100000000000001" customHeight="1" x14ac:dyDescent="0.35">
      <c r="A13" s="124">
        <v>15</v>
      </c>
      <c r="B13" s="124" t="s">
        <v>9</v>
      </c>
      <c r="C13" s="148" t="s">
        <v>156</v>
      </c>
      <c r="D13" s="125">
        <v>1</v>
      </c>
      <c r="E13" s="125">
        <v>1</v>
      </c>
      <c r="F13" s="125">
        <f t="shared" si="0"/>
        <v>0</v>
      </c>
      <c r="G13" s="124" t="s">
        <v>32</v>
      </c>
    </row>
    <row r="14" spans="1:8" ht="20.100000000000001" customHeight="1" x14ac:dyDescent="0.35">
      <c r="A14" s="124">
        <v>15</v>
      </c>
      <c r="B14" s="124" t="s">
        <v>13</v>
      </c>
      <c r="C14" s="148" t="s">
        <v>389</v>
      </c>
      <c r="D14" s="125">
        <v>1</v>
      </c>
      <c r="E14" s="125">
        <v>1</v>
      </c>
      <c r="F14" s="125">
        <f t="shared" si="0"/>
        <v>0</v>
      </c>
      <c r="G14" s="124" t="s">
        <v>103</v>
      </c>
    </row>
    <row r="15" spans="1:8" ht="20.100000000000001" customHeight="1" x14ac:dyDescent="0.35">
      <c r="A15" s="124">
        <v>15</v>
      </c>
      <c r="B15" s="124" t="s">
        <v>68</v>
      </c>
      <c r="C15" s="148" t="s">
        <v>171</v>
      </c>
      <c r="D15" s="125">
        <v>1</v>
      </c>
      <c r="E15" s="125">
        <v>1</v>
      </c>
      <c r="F15" s="125">
        <f t="shared" si="0"/>
        <v>0</v>
      </c>
      <c r="G15" s="124" t="s">
        <v>103</v>
      </c>
    </row>
    <row r="16" spans="1:8" ht="20.100000000000001" customHeight="1" x14ac:dyDescent="0.35">
      <c r="A16" s="129"/>
      <c r="B16" s="75">
        <v>16</v>
      </c>
      <c r="C16" s="129"/>
      <c r="D16" s="130"/>
      <c r="E16" s="130"/>
      <c r="F16" s="130"/>
      <c r="G16" s="129"/>
    </row>
    <row r="17" spans="1:8" ht="20.100000000000001" customHeight="1" x14ac:dyDescent="0.35">
      <c r="A17" s="138">
        <v>16</v>
      </c>
      <c r="B17" s="139" t="s">
        <v>13</v>
      </c>
      <c r="C17" s="149" t="s">
        <v>69</v>
      </c>
      <c r="D17" s="137">
        <v>1</v>
      </c>
      <c r="E17" s="137"/>
      <c r="F17" s="133">
        <f t="shared" si="0"/>
        <v>1</v>
      </c>
      <c r="G17" s="138" t="s">
        <v>32</v>
      </c>
    </row>
    <row r="18" spans="1:8" ht="20.100000000000001" customHeight="1" x14ac:dyDescent="0.35">
      <c r="A18" s="138">
        <v>16</v>
      </c>
      <c r="B18" s="139" t="s">
        <v>13</v>
      </c>
      <c r="C18" s="149" t="s">
        <v>144</v>
      </c>
      <c r="D18" s="137">
        <v>1</v>
      </c>
      <c r="E18" s="137"/>
      <c r="F18" s="133">
        <f t="shared" si="0"/>
        <v>1</v>
      </c>
      <c r="G18" s="138" t="s">
        <v>32</v>
      </c>
    </row>
    <row r="19" spans="1:8" ht="20.100000000000001" customHeight="1" x14ac:dyDescent="0.35">
      <c r="A19" s="138">
        <v>16</v>
      </c>
      <c r="B19" s="139" t="s">
        <v>13</v>
      </c>
      <c r="C19" s="149" t="s">
        <v>327</v>
      </c>
      <c r="D19" s="137">
        <v>1</v>
      </c>
      <c r="E19" s="137"/>
      <c r="F19" s="133">
        <f t="shared" si="0"/>
        <v>1</v>
      </c>
      <c r="G19" s="138" t="s">
        <v>103</v>
      </c>
    </row>
    <row r="20" spans="1:8" ht="20.100000000000001" customHeight="1" x14ac:dyDescent="0.35">
      <c r="A20" s="138">
        <v>16</v>
      </c>
      <c r="B20" s="139" t="s">
        <v>13</v>
      </c>
      <c r="C20" s="149" t="s">
        <v>163</v>
      </c>
      <c r="D20" s="137">
        <v>1</v>
      </c>
      <c r="E20" s="137"/>
      <c r="F20" s="133">
        <f t="shared" si="0"/>
        <v>1</v>
      </c>
      <c r="G20" s="138" t="s">
        <v>32</v>
      </c>
    </row>
    <row r="21" spans="1:8" ht="20.100000000000001" customHeight="1" x14ac:dyDescent="0.35">
      <c r="A21" s="138">
        <v>16</v>
      </c>
      <c r="B21" s="139" t="s">
        <v>13</v>
      </c>
      <c r="C21" s="149" t="s">
        <v>398</v>
      </c>
      <c r="D21" s="137">
        <v>1</v>
      </c>
      <c r="E21" s="137">
        <v>1</v>
      </c>
      <c r="F21" s="133">
        <f t="shared" si="0"/>
        <v>0</v>
      </c>
      <c r="G21" s="138" t="s">
        <v>32</v>
      </c>
      <c r="H21" t="s">
        <v>358</v>
      </c>
    </row>
    <row r="22" spans="1:8" ht="20.100000000000001" customHeight="1" x14ac:dyDescent="0.35">
      <c r="A22" s="138">
        <v>16</v>
      </c>
      <c r="B22" s="139" t="s">
        <v>13</v>
      </c>
      <c r="C22" s="149" t="s">
        <v>285</v>
      </c>
      <c r="D22" s="137">
        <v>1</v>
      </c>
      <c r="E22" s="137"/>
      <c r="F22" s="133">
        <f t="shared" si="0"/>
        <v>1</v>
      </c>
      <c r="G22" s="138" t="s">
        <v>103</v>
      </c>
    </row>
    <row r="23" spans="1:8" ht="20.100000000000001" customHeight="1" x14ac:dyDescent="0.35">
      <c r="A23" s="138">
        <v>16</v>
      </c>
      <c r="B23" s="139" t="s">
        <v>27</v>
      </c>
      <c r="C23" s="149" t="s">
        <v>352</v>
      </c>
      <c r="D23" s="137">
        <v>1</v>
      </c>
      <c r="E23" s="137"/>
      <c r="F23" s="133">
        <f t="shared" si="0"/>
        <v>1</v>
      </c>
      <c r="G23" s="138" t="s">
        <v>103</v>
      </c>
    </row>
    <row r="24" spans="1:8" ht="20.100000000000001" customHeight="1" x14ac:dyDescent="0.35">
      <c r="A24" s="138">
        <v>16</v>
      </c>
      <c r="B24" s="139" t="s">
        <v>27</v>
      </c>
      <c r="C24" s="149" t="s">
        <v>163</v>
      </c>
      <c r="D24" s="137">
        <v>1</v>
      </c>
      <c r="E24" s="137">
        <v>1</v>
      </c>
      <c r="F24" s="133">
        <f t="shared" si="0"/>
        <v>0</v>
      </c>
      <c r="G24" s="138" t="s">
        <v>32</v>
      </c>
    </row>
    <row r="25" spans="1:8" ht="20.100000000000001" customHeight="1" x14ac:dyDescent="0.35">
      <c r="A25" s="138">
        <v>16</v>
      </c>
      <c r="B25" s="139" t="s">
        <v>27</v>
      </c>
      <c r="C25" s="149" t="s">
        <v>285</v>
      </c>
      <c r="D25" s="137">
        <v>1</v>
      </c>
      <c r="E25" s="137">
        <v>1</v>
      </c>
      <c r="F25" s="133">
        <f t="shared" si="0"/>
        <v>0</v>
      </c>
      <c r="G25" s="138" t="s">
        <v>103</v>
      </c>
    </row>
    <row r="26" spans="1:8" ht="20.100000000000001" customHeight="1" x14ac:dyDescent="0.35">
      <c r="A26" s="138">
        <v>16</v>
      </c>
      <c r="B26" s="139" t="s">
        <v>68</v>
      </c>
      <c r="C26" s="149" t="s">
        <v>352</v>
      </c>
      <c r="D26" s="137">
        <v>1</v>
      </c>
      <c r="E26" s="137"/>
      <c r="F26" s="133">
        <f t="shared" si="0"/>
        <v>1</v>
      </c>
      <c r="G26" s="138" t="s">
        <v>103</v>
      </c>
    </row>
    <row r="27" spans="1:8" ht="20.100000000000001" customHeight="1" x14ac:dyDescent="0.35">
      <c r="A27" s="138">
        <v>16</v>
      </c>
      <c r="B27" s="139" t="s">
        <v>68</v>
      </c>
      <c r="C27" s="149" t="s">
        <v>170</v>
      </c>
      <c r="D27" s="137">
        <v>1</v>
      </c>
      <c r="E27" s="137"/>
      <c r="F27" s="133">
        <f t="shared" si="0"/>
        <v>1</v>
      </c>
      <c r="G27" s="138" t="s">
        <v>103</v>
      </c>
      <c r="H27" t="s">
        <v>191</v>
      </c>
    </row>
    <row r="28" spans="1:8" ht="19.2" customHeight="1" x14ac:dyDescent="0.35">
      <c r="A28" s="138">
        <v>16</v>
      </c>
      <c r="B28" s="139" t="s">
        <v>415</v>
      </c>
      <c r="C28" s="149" t="s">
        <v>163</v>
      </c>
      <c r="D28" s="137">
        <v>1</v>
      </c>
      <c r="E28" s="137"/>
      <c r="F28" s="133">
        <f t="shared" si="0"/>
        <v>1</v>
      </c>
      <c r="G28" s="138" t="s">
        <v>32</v>
      </c>
    </row>
    <row r="29" spans="1:8" ht="20.100000000000001" customHeight="1" x14ac:dyDescent="0.35">
      <c r="A29" s="140"/>
      <c r="B29" s="142">
        <v>17</v>
      </c>
      <c r="C29" s="140"/>
      <c r="D29" s="141"/>
      <c r="E29" s="141"/>
      <c r="F29" s="141"/>
      <c r="G29" s="140"/>
    </row>
    <row r="30" spans="1:8" ht="20.100000000000001" customHeight="1" x14ac:dyDescent="0.35">
      <c r="A30" s="138">
        <v>17</v>
      </c>
      <c r="B30" s="139" t="s">
        <v>13</v>
      </c>
      <c r="C30" s="149" t="s">
        <v>161</v>
      </c>
      <c r="D30" s="137">
        <v>1</v>
      </c>
      <c r="E30" s="137"/>
      <c r="F30" s="133">
        <f t="shared" si="0"/>
        <v>1</v>
      </c>
      <c r="G30" s="138" t="s">
        <v>32</v>
      </c>
      <c r="H30" t="s">
        <v>191</v>
      </c>
    </row>
    <row r="31" spans="1:8" ht="20.100000000000001" customHeight="1" x14ac:dyDescent="0.35">
      <c r="A31" s="138">
        <v>17</v>
      </c>
      <c r="B31" s="139" t="s">
        <v>24</v>
      </c>
      <c r="C31" s="149" t="s">
        <v>290</v>
      </c>
      <c r="D31" s="137">
        <v>1</v>
      </c>
      <c r="E31" s="137"/>
      <c r="F31" s="133">
        <f t="shared" si="0"/>
        <v>1</v>
      </c>
      <c r="G31" s="138" t="s">
        <v>32</v>
      </c>
      <c r="H31" t="s">
        <v>191</v>
      </c>
    </row>
    <row r="32" spans="1:8" ht="20.100000000000001" customHeight="1" x14ac:dyDescent="0.35">
      <c r="A32" s="138">
        <v>17</v>
      </c>
      <c r="B32" s="139" t="s">
        <v>23</v>
      </c>
      <c r="C32" s="149" t="s">
        <v>314</v>
      </c>
      <c r="D32" s="137">
        <v>1</v>
      </c>
      <c r="E32" s="137"/>
      <c r="F32" s="133">
        <f t="shared" si="0"/>
        <v>1</v>
      </c>
      <c r="G32" s="138" t="s">
        <v>103</v>
      </c>
      <c r="H32" t="s">
        <v>191</v>
      </c>
    </row>
    <row r="33" spans="1:8" ht="20.100000000000001" customHeight="1" x14ac:dyDescent="0.35">
      <c r="A33" s="138">
        <v>17</v>
      </c>
      <c r="B33" s="139" t="s">
        <v>284</v>
      </c>
      <c r="C33" s="149" t="s">
        <v>314</v>
      </c>
      <c r="D33" s="137">
        <v>1</v>
      </c>
      <c r="E33" s="137"/>
      <c r="F33" s="133">
        <f t="shared" si="0"/>
        <v>1</v>
      </c>
      <c r="G33" s="138" t="s">
        <v>103</v>
      </c>
    </row>
    <row r="34" spans="1:8" ht="20.100000000000001" customHeight="1" x14ac:dyDescent="0.35">
      <c r="A34" s="124">
        <v>17</v>
      </c>
      <c r="B34" s="124" t="s">
        <v>25</v>
      </c>
      <c r="C34" s="148" t="s">
        <v>171</v>
      </c>
      <c r="D34" s="125">
        <v>1</v>
      </c>
      <c r="E34" s="125"/>
      <c r="F34" s="125">
        <f t="shared" si="0"/>
        <v>1</v>
      </c>
      <c r="G34" s="124" t="s">
        <v>103</v>
      </c>
    </row>
    <row r="35" spans="1:8" ht="20.100000000000001" customHeight="1" x14ac:dyDescent="0.35">
      <c r="A35" s="124">
        <v>17</v>
      </c>
      <c r="B35" s="124" t="s">
        <v>25</v>
      </c>
      <c r="C35" s="148" t="s">
        <v>359</v>
      </c>
      <c r="D35" s="125">
        <v>1</v>
      </c>
      <c r="E35" s="125"/>
      <c r="F35" s="125">
        <f t="shared" si="0"/>
        <v>1</v>
      </c>
      <c r="G35" s="124" t="s">
        <v>103</v>
      </c>
    </row>
    <row r="36" spans="1:8" ht="20.100000000000001" customHeight="1" x14ac:dyDescent="0.35">
      <c r="A36" s="124">
        <v>17</v>
      </c>
      <c r="B36" s="124" t="s">
        <v>26</v>
      </c>
      <c r="C36" s="148" t="s">
        <v>144</v>
      </c>
      <c r="D36" s="125">
        <v>1</v>
      </c>
      <c r="E36" s="125"/>
      <c r="F36" s="125">
        <f t="shared" si="0"/>
        <v>1</v>
      </c>
      <c r="G36" s="124" t="s">
        <v>32</v>
      </c>
      <c r="H36" t="s">
        <v>191</v>
      </c>
    </row>
    <row r="37" spans="1:8" ht="20.100000000000001" customHeight="1" x14ac:dyDescent="0.35">
      <c r="A37" s="124">
        <v>17</v>
      </c>
      <c r="B37" s="124" t="s">
        <v>18</v>
      </c>
      <c r="C37" s="148" t="s">
        <v>159</v>
      </c>
      <c r="D37" s="125">
        <v>1</v>
      </c>
      <c r="E37" s="125"/>
      <c r="F37" s="125">
        <f t="shared" si="0"/>
        <v>1</v>
      </c>
      <c r="G37" s="124" t="s">
        <v>32</v>
      </c>
      <c r="H37" t="s">
        <v>191</v>
      </c>
    </row>
    <row r="38" spans="1:8" ht="20.100000000000001" customHeight="1" x14ac:dyDescent="0.35">
      <c r="A38" s="124">
        <v>17</v>
      </c>
      <c r="B38" s="124" t="s">
        <v>18</v>
      </c>
      <c r="C38" s="148" t="s">
        <v>92</v>
      </c>
      <c r="D38" s="125">
        <v>1</v>
      </c>
      <c r="E38" s="125"/>
      <c r="F38" s="125">
        <f t="shared" si="0"/>
        <v>1</v>
      </c>
      <c r="G38" s="124" t="s">
        <v>158</v>
      </c>
      <c r="H38" t="s">
        <v>191</v>
      </c>
    </row>
    <row r="39" spans="1:8" ht="20.100000000000001" customHeight="1" x14ac:dyDescent="0.35">
      <c r="A39" s="124">
        <v>17</v>
      </c>
      <c r="B39" s="124" t="s">
        <v>52</v>
      </c>
      <c r="C39" s="148" t="s">
        <v>109</v>
      </c>
      <c r="D39" s="125">
        <v>1</v>
      </c>
      <c r="E39" s="125"/>
      <c r="F39" s="125">
        <f t="shared" si="0"/>
        <v>1</v>
      </c>
      <c r="G39" s="124" t="s">
        <v>103</v>
      </c>
      <c r="H39" t="s">
        <v>191</v>
      </c>
    </row>
    <row r="40" spans="1:8" ht="20.100000000000001" customHeight="1" x14ac:dyDescent="0.35">
      <c r="A40" s="124">
        <v>17</v>
      </c>
      <c r="B40" s="124" t="s">
        <v>15</v>
      </c>
      <c r="C40" s="148" t="s">
        <v>92</v>
      </c>
      <c r="D40" s="125">
        <v>1</v>
      </c>
      <c r="E40" s="125"/>
      <c r="F40" s="125">
        <f t="shared" si="0"/>
        <v>1</v>
      </c>
      <c r="G40" s="124" t="s">
        <v>158</v>
      </c>
      <c r="H40" t="s">
        <v>191</v>
      </c>
    </row>
    <row r="41" spans="1:8" ht="20.100000000000001" customHeight="1" x14ac:dyDescent="0.35">
      <c r="A41" s="124">
        <v>17</v>
      </c>
      <c r="B41" s="124" t="s">
        <v>15</v>
      </c>
      <c r="C41" s="148" t="s">
        <v>321</v>
      </c>
      <c r="D41" s="125">
        <v>1</v>
      </c>
      <c r="E41" s="125"/>
      <c r="F41" s="125">
        <f t="shared" si="0"/>
        <v>1</v>
      </c>
      <c r="G41" s="124" t="s">
        <v>32</v>
      </c>
    </row>
    <row r="42" spans="1:8" ht="20.100000000000001" customHeight="1" x14ac:dyDescent="0.35">
      <c r="A42" s="124">
        <v>17</v>
      </c>
      <c r="B42" s="124" t="s">
        <v>20</v>
      </c>
      <c r="C42" s="148" t="s">
        <v>169</v>
      </c>
      <c r="D42" s="125">
        <v>1</v>
      </c>
      <c r="E42" s="125"/>
      <c r="F42" s="125">
        <f t="shared" si="0"/>
        <v>1</v>
      </c>
      <c r="G42" s="124" t="s">
        <v>103</v>
      </c>
      <c r="H42" t="s">
        <v>191</v>
      </c>
    </row>
    <row r="43" spans="1:8" ht="20.100000000000001" customHeight="1" x14ac:dyDescent="0.35">
      <c r="A43" s="129"/>
      <c r="B43" s="75">
        <v>18</v>
      </c>
      <c r="C43" s="129"/>
      <c r="D43" s="130"/>
      <c r="E43" s="130"/>
      <c r="F43" s="130"/>
      <c r="G43" s="129"/>
    </row>
    <row r="44" spans="1:8" ht="20.100000000000001" customHeight="1" x14ac:dyDescent="0.35">
      <c r="A44" s="124">
        <v>18</v>
      </c>
      <c r="B44" s="124" t="s">
        <v>25</v>
      </c>
      <c r="C44" s="148" t="s">
        <v>159</v>
      </c>
      <c r="D44" s="125">
        <v>1</v>
      </c>
      <c r="E44" s="125">
        <v>1</v>
      </c>
      <c r="F44" s="125">
        <f t="shared" si="0"/>
        <v>0</v>
      </c>
      <c r="G44" s="124" t="s">
        <v>32</v>
      </c>
      <c r="H44" t="s">
        <v>358</v>
      </c>
    </row>
    <row r="45" spans="1:8" ht="20.100000000000001" customHeight="1" x14ac:dyDescent="0.35">
      <c r="A45" s="124">
        <v>18</v>
      </c>
      <c r="B45" s="124" t="s">
        <v>15</v>
      </c>
      <c r="C45" s="148" t="s">
        <v>195</v>
      </c>
      <c r="D45" s="125">
        <v>1</v>
      </c>
      <c r="E45" s="125">
        <v>1</v>
      </c>
      <c r="F45" s="125">
        <f t="shared" si="0"/>
        <v>0</v>
      </c>
      <c r="G45" s="124" t="s">
        <v>32</v>
      </c>
      <c r="H45" t="s">
        <v>191</v>
      </c>
    </row>
    <row r="46" spans="1:8" ht="20.100000000000001" customHeight="1" x14ac:dyDescent="0.35">
      <c r="A46" s="124">
        <v>18</v>
      </c>
      <c r="B46" s="124" t="s">
        <v>15</v>
      </c>
      <c r="C46" s="148" t="s">
        <v>94</v>
      </c>
      <c r="D46" s="125">
        <v>1</v>
      </c>
      <c r="E46" s="125">
        <v>1</v>
      </c>
      <c r="F46" s="125">
        <f t="shared" si="0"/>
        <v>0</v>
      </c>
      <c r="G46" s="124" t="s">
        <v>103</v>
      </c>
      <c r="H46" t="s">
        <v>191</v>
      </c>
    </row>
    <row r="47" spans="1:8" ht="20.100000000000001" customHeight="1" x14ac:dyDescent="0.35">
      <c r="A47" s="129"/>
      <c r="B47" s="75">
        <v>19</v>
      </c>
      <c r="C47" s="129"/>
      <c r="D47" s="130"/>
      <c r="E47" s="130"/>
      <c r="F47" s="130"/>
      <c r="G47" s="129"/>
    </row>
    <row r="48" spans="1:8" ht="2.4" customHeight="1" x14ac:dyDescent="0.35">
      <c r="A48" s="124">
        <v>19</v>
      </c>
      <c r="B48" s="124" t="s">
        <v>15</v>
      </c>
      <c r="C48" s="148" t="s">
        <v>159</v>
      </c>
      <c r="D48" s="125">
        <v>1</v>
      </c>
      <c r="E48" s="125"/>
      <c r="F48" s="125">
        <f t="shared" si="0"/>
        <v>1</v>
      </c>
      <c r="G48" s="124" t="s">
        <v>32</v>
      </c>
    </row>
    <row r="49" spans="1:8" ht="20.100000000000001" hidden="1" customHeight="1" x14ac:dyDescent="0.35">
      <c r="A49" s="124">
        <v>19</v>
      </c>
      <c r="B49" s="124" t="s">
        <v>52</v>
      </c>
      <c r="C49" s="148" t="s">
        <v>283</v>
      </c>
      <c r="D49" s="125">
        <v>1</v>
      </c>
      <c r="E49" s="125">
        <v>1</v>
      </c>
      <c r="F49" s="125">
        <f t="shared" si="0"/>
        <v>0</v>
      </c>
      <c r="G49" s="124" t="s">
        <v>103</v>
      </c>
    </row>
    <row r="50" spans="1:8" ht="20.100000000000001" hidden="1" customHeight="1" x14ac:dyDescent="0.35">
      <c r="A50" s="124">
        <v>19</v>
      </c>
      <c r="B50" s="124" t="s">
        <v>47</v>
      </c>
      <c r="C50" s="148" t="s">
        <v>286</v>
      </c>
      <c r="D50" s="125">
        <v>1</v>
      </c>
      <c r="E50" s="125">
        <v>1</v>
      </c>
      <c r="F50" s="125">
        <f t="shared" si="0"/>
        <v>0</v>
      </c>
      <c r="G50" s="124" t="s">
        <v>103</v>
      </c>
    </row>
    <row r="51" spans="1:8" ht="20.100000000000001" hidden="1" customHeight="1" x14ac:dyDescent="0.35">
      <c r="A51" s="124">
        <v>19</v>
      </c>
      <c r="B51" s="124" t="s">
        <v>47</v>
      </c>
      <c r="C51" s="148" t="s">
        <v>160</v>
      </c>
      <c r="D51" s="125">
        <v>1</v>
      </c>
      <c r="E51" s="125">
        <v>1</v>
      </c>
      <c r="F51" s="125">
        <f t="shared" si="0"/>
        <v>0</v>
      </c>
      <c r="G51" s="124" t="s">
        <v>32</v>
      </c>
      <c r="H51" t="s">
        <v>191</v>
      </c>
    </row>
    <row r="52" spans="1:8" ht="20.100000000000001" hidden="1" customHeight="1" x14ac:dyDescent="0.35">
      <c r="A52" s="124">
        <v>19</v>
      </c>
      <c r="B52" s="124" t="s">
        <v>16</v>
      </c>
      <c r="C52" s="148" t="s">
        <v>283</v>
      </c>
      <c r="D52" s="125">
        <v>1</v>
      </c>
      <c r="E52" s="125">
        <v>1</v>
      </c>
      <c r="F52" s="125">
        <f t="shared" si="0"/>
        <v>0</v>
      </c>
      <c r="G52" s="124" t="s">
        <v>103</v>
      </c>
    </row>
    <row r="53" spans="1:8" ht="20.100000000000001" customHeight="1" x14ac:dyDescent="0.35">
      <c r="A53" s="124">
        <v>20</v>
      </c>
      <c r="B53" s="124" t="s">
        <v>45</v>
      </c>
      <c r="C53" s="148" t="s">
        <v>173</v>
      </c>
      <c r="D53" s="125">
        <v>1</v>
      </c>
      <c r="E53" s="125"/>
      <c r="F53" s="125">
        <f t="shared" si="0"/>
        <v>1</v>
      </c>
      <c r="G53" s="124" t="s">
        <v>32</v>
      </c>
      <c r="H53" t="s">
        <v>190</v>
      </c>
    </row>
    <row r="54" spans="1:8" ht="20.100000000000001" customHeight="1" x14ac:dyDescent="0.35">
      <c r="A54" s="124">
        <v>20</v>
      </c>
      <c r="B54" s="124" t="s">
        <v>49</v>
      </c>
      <c r="C54" s="148" t="s">
        <v>298</v>
      </c>
      <c r="D54" s="125">
        <v>1</v>
      </c>
      <c r="E54" s="125">
        <v>1</v>
      </c>
      <c r="F54" s="125">
        <f t="shared" si="0"/>
        <v>0</v>
      </c>
      <c r="G54" s="124" t="s">
        <v>32</v>
      </c>
    </row>
    <row r="55" spans="1:8" ht="20.100000000000001" customHeight="1" x14ac:dyDescent="0.35">
      <c r="A55" s="124">
        <v>21</v>
      </c>
      <c r="B55" s="124" t="s">
        <v>83</v>
      </c>
      <c r="C55" s="148" t="s">
        <v>388</v>
      </c>
      <c r="D55" s="125">
        <v>1</v>
      </c>
      <c r="E55" s="125"/>
      <c r="F55" s="125">
        <f t="shared" si="0"/>
        <v>1</v>
      </c>
      <c r="G55" s="124" t="s">
        <v>32</v>
      </c>
      <c r="H55" t="s">
        <v>358</v>
      </c>
    </row>
    <row r="56" spans="1:8" ht="21" x14ac:dyDescent="0.4">
      <c r="A56" s="124"/>
      <c r="B56" s="124"/>
      <c r="C56" s="126" t="s">
        <v>155</v>
      </c>
      <c r="D56" s="127">
        <f>SUM(D3:D55)</f>
        <v>48</v>
      </c>
      <c r="E56" s="128">
        <f>SUM(E3:E51)</f>
        <v>18</v>
      </c>
      <c r="F56" s="127">
        <f>SUM(F3:F55)</f>
        <v>28</v>
      </c>
      <c r="G56" s="179" t="s">
        <v>180</v>
      </c>
    </row>
  </sheetData>
  <pageMargins left="0.7" right="0.7" top="0.75" bottom="0.75" header="0.3" footer="0.3"/>
  <pageSetup paperSize="8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activeCell="C3" sqref="C3"/>
    </sheetView>
  </sheetViews>
  <sheetFormatPr defaultRowHeight="14.4" x14ac:dyDescent="0.3"/>
  <sheetData>
    <row r="1" spans="1:2" x14ac:dyDescent="0.3">
      <c r="A1" s="72" t="s">
        <v>100</v>
      </c>
      <c r="B1" s="7">
        <f>'R14'!D28+'R15'!D122+'R16'!D172+'R17'!D161+'R18'!D130+'R19'!D53+'R20'!D66+'R21'!D26+'R ОДИНОЧКИ'!D56</f>
        <v>8580</v>
      </c>
    </row>
    <row r="2" spans="1:2" x14ac:dyDescent="0.3">
      <c r="A2" s="72" t="s">
        <v>101</v>
      </c>
      <c r="B2" s="7">
        <f>'R14'!E28+'R15'!E122+'R16'!E172+'R17'!E161+'R18'!E130+'R19'!E53+'R20'!E66+'R21'!E26+'R ОДИНОЧКИ'!E56</f>
        <v>6744</v>
      </c>
    </row>
    <row r="3" spans="1:2" x14ac:dyDescent="0.3">
      <c r="A3" s="72" t="s">
        <v>5</v>
      </c>
      <c r="B3" s="7">
        <f>'R14'!F28+'R15'!F122+'R16'!F172+'R17'!F161+'R18'!F130+'R19'!F53+'R20'!F66+'R21'!F26+'R ОДИНОЧКИ'!F56</f>
        <v>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R14</vt:lpstr>
      <vt:lpstr>R15</vt:lpstr>
      <vt:lpstr>R16</vt:lpstr>
      <vt:lpstr>R17</vt:lpstr>
      <vt:lpstr>R18</vt:lpstr>
      <vt:lpstr>R19</vt:lpstr>
      <vt:lpstr>R20</vt:lpstr>
      <vt:lpstr>R21</vt:lpstr>
      <vt:lpstr>R ОДИНОЧКИ</vt:lpstr>
      <vt:lpstr>итог</vt:lpstr>
      <vt:lpstr>'R15'!Область_печати</vt:lpstr>
      <vt:lpstr>'R17'!Область_печати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Легион</cp:lastModifiedBy>
  <cp:lastPrinted>2024-01-24T14:09:50Z</cp:lastPrinted>
  <dcterms:created xsi:type="dcterms:W3CDTF">2017-05-31T08:32:40Z</dcterms:created>
  <dcterms:modified xsi:type="dcterms:W3CDTF">2026-04-17T15:56:12Z</dcterms:modified>
</cp:coreProperties>
</file>